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-120" yWindow="-120" windowWidth="29040" windowHeight="15840" activeTab="1"/>
  </bookViews>
  <sheets>
    <sheet name="Attendance" sheetId="2" r:id="rId1"/>
    <sheet name="Employees" sheetId="1" r:id="rId2"/>
    <sheet name="التسبيقات" sheetId="3" r:id="rId3"/>
    <sheet name="ALLAL" sheetId="4" r:id="rId4"/>
    <sheet name="TPL" sheetId="5" r:id="rId5"/>
    <sheet name="ورقة3" sheetId="7" r:id="rId6"/>
    <sheet name="ورقة1" sheetId="8" r:id="rId7"/>
  </sheets>
  <definedNames>
    <definedName name="_xlnm._FilterDatabase" localSheetId="0" hidden="1">Attendance!$A$1:$H$1</definedName>
    <definedName name="_xlnm._FilterDatabase" localSheetId="2" hidden="1">التسبيقات!$B$3:$G$4</definedName>
    <definedName name="_xlnm._FilterDatabase" localSheetId="6" hidden="1">ورقة1!$A$1:$F$1</definedName>
    <definedName name="_xlnm.Print_Area" localSheetId="4">TPL!$A$1:$C$321</definedName>
    <definedName name="_xlnm.Print_Area" localSheetId="2">التسبيقات!$A$1:$G$451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0" i="2" l="1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C486" i="2"/>
  <c r="H485" i="2"/>
  <c r="H484" i="2"/>
  <c r="C484" i="2"/>
  <c r="H483" i="2"/>
  <c r="H482" i="2"/>
  <c r="C482" i="2"/>
  <c r="H481" i="2"/>
  <c r="H480" i="2"/>
  <c r="C480" i="2"/>
  <c r="H479" i="2"/>
  <c r="H478" i="2"/>
  <c r="C478" i="2"/>
  <c r="H477" i="2"/>
  <c r="H476" i="2"/>
  <c r="C476" i="2"/>
  <c r="H475" i="2"/>
  <c r="H474" i="2"/>
  <c r="C474" i="2"/>
  <c r="H473" i="2"/>
  <c r="H472" i="2"/>
  <c r="C472" i="2"/>
  <c r="H471" i="2"/>
  <c r="H470" i="2"/>
  <c r="C470" i="2"/>
  <c r="H469" i="2"/>
  <c r="H468" i="2"/>
  <c r="C468" i="2"/>
  <c r="H467" i="2"/>
  <c r="H466" i="2"/>
  <c r="C466" i="2"/>
  <c r="H465" i="2"/>
  <c r="H464" i="2"/>
  <c r="C464" i="2"/>
  <c r="H463" i="2"/>
  <c r="H462" i="2"/>
  <c r="C462" i="2"/>
  <c r="H461" i="2"/>
  <c r="H460" i="2"/>
  <c r="C460" i="2"/>
  <c r="H459" i="2"/>
  <c r="H458" i="2"/>
  <c r="C458" i="2"/>
  <c r="H457" i="2"/>
  <c r="H456" i="2"/>
  <c r="C456" i="2"/>
  <c r="H455" i="2"/>
  <c r="H454" i="2"/>
  <c r="C454" i="2"/>
  <c r="H453" i="2"/>
  <c r="H452" i="2"/>
  <c r="C452" i="2"/>
  <c r="H451" i="2"/>
  <c r="H450" i="2"/>
  <c r="C450" i="2"/>
  <c r="H449" i="2"/>
  <c r="H448" i="2"/>
  <c r="C448" i="2"/>
  <c r="H447" i="2"/>
  <c r="H446" i="2"/>
  <c r="C446" i="2"/>
  <c r="H445" i="2"/>
  <c r="H444" i="2"/>
  <c r="C444" i="2"/>
  <c r="H443" i="2"/>
  <c r="H442" i="2"/>
  <c r="C442" i="2"/>
  <c r="H441" i="2"/>
  <c r="H440" i="2"/>
  <c r="C440" i="2"/>
  <c r="H439" i="2"/>
  <c r="H438" i="2"/>
  <c r="C438" i="2"/>
  <c r="H437" i="2"/>
  <c r="H436" i="2"/>
  <c r="C436" i="2"/>
  <c r="H435" i="2"/>
  <c r="H434" i="2"/>
  <c r="C434" i="2"/>
  <c r="H433" i="2"/>
  <c r="H432" i="2"/>
  <c r="C432" i="2"/>
  <c r="H431" i="2"/>
  <c r="H430" i="2"/>
  <c r="C430" i="2"/>
  <c r="H429" i="2"/>
  <c r="H428" i="2"/>
  <c r="C428" i="2"/>
  <c r="H427" i="2"/>
  <c r="H426" i="2"/>
  <c r="C426" i="2"/>
  <c r="H425" i="2"/>
  <c r="H424" i="2"/>
  <c r="C424" i="2"/>
  <c r="H423" i="2"/>
  <c r="H422" i="2"/>
  <c r="C422" i="2"/>
  <c r="H421" i="2"/>
  <c r="H420" i="2"/>
  <c r="C420" i="2"/>
  <c r="H419" i="2"/>
  <c r="H418" i="2"/>
  <c r="C418" i="2"/>
  <c r="H417" i="2"/>
  <c r="H416" i="2"/>
  <c r="C416" i="2"/>
  <c r="H415" i="2"/>
  <c r="H414" i="2"/>
  <c r="C414" i="2"/>
  <c r="H413" i="2"/>
  <c r="H412" i="2"/>
  <c r="H411" i="2"/>
  <c r="H410" i="2"/>
  <c r="H409" i="2"/>
  <c r="C409" i="2"/>
  <c r="H408" i="2"/>
  <c r="H407" i="2"/>
  <c r="C407" i="2"/>
  <c r="H406" i="2"/>
  <c r="H405" i="2"/>
  <c r="C405" i="2"/>
  <c r="H404" i="2"/>
  <c r="H403" i="2"/>
  <c r="C403" i="2"/>
  <c r="H402" i="2"/>
  <c r="H401" i="2"/>
  <c r="H400" i="2"/>
  <c r="H399" i="2"/>
  <c r="C399" i="2"/>
  <c r="H398" i="2"/>
  <c r="H397" i="2"/>
  <c r="C397" i="2"/>
  <c r="H396" i="2"/>
  <c r="H395" i="2"/>
  <c r="C395" i="2"/>
  <c r="H394" i="2"/>
  <c r="H393" i="2"/>
  <c r="C393" i="2"/>
  <c r="H392" i="2"/>
  <c r="H391" i="2"/>
  <c r="C391" i="2"/>
  <c r="H390" i="2"/>
  <c r="H389" i="2"/>
  <c r="C389" i="2"/>
  <c r="H388" i="2"/>
  <c r="H387" i="2"/>
  <c r="C387" i="2"/>
  <c r="H386" i="2"/>
  <c r="H385" i="2"/>
  <c r="C385" i="2"/>
  <c r="H384" i="2"/>
  <c r="H383" i="2"/>
  <c r="C383" i="2"/>
  <c r="H382" i="2"/>
  <c r="H381" i="2"/>
  <c r="C381" i="2"/>
  <c r="H380" i="2"/>
  <c r="H379" i="2"/>
  <c r="C379" i="2"/>
  <c r="H378" i="2"/>
  <c r="H377" i="2"/>
  <c r="C377" i="2"/>
  <c r="H376" i="2"/>
  <c r="H375" i="2"/>
  <c r="C375" i="2"/>
  <c r="H374" i="2"/>
  <c r="H373" i="2"/>
  <c r="C373" i="2"/>
  <c r="H372" i="2"/>
  <c r="H371" i="2"/>
  <c r="C371" i="2"/>
  <c r="H370" i="2"/>
  <c r="H369" i="2"/>
  <c r="C369" i="2"/>
  <c r="H368" i="2"/>
  <c r="H367" i="2"/>
  <c r="C367" i="2"/>
  <c r="H366" i="2"/>
  <c r="H365" i="2"/>
  <c r="C365" i="2"/>
  <c r="H364" i="2"/>
  <c r="H363" i="2"/>
  <c r="C363" i="2"/>
  <c r="H362" i="2"/>
  <c r="H361" i="2"/>
  <c r="C361" i="2"/>
  <c r="H360" i="2"/>
  <c r="H359" i="2"/>
  <c r="C359" i="2"/>
  <c r="H358" i="2"/>
  <c r="H357" i="2"/>
  <c r="C357" i="2"/>
  <c r="H356" i="2"/>
  <c r="H355" i="2"/>
  <c r="C355" i="2"/>
  <c r="H354" i="2"/>
  <c r="H353" i="2"/>
  <c r="H352" i="2"/>
  <c r="H351" i="2"/>
  <c r="C351" i="2"/>
  <c r="H350" i="2"/>
  <c r="H349" i="2"/>
  <c r="C349" i="2"/>
  <c r="H348" i="2"/>
  <c r="H347" i="2"/>
  <c r="C347" i="2"/>
  <c r="H346" i="2"/>
  <c r="H345" i="2"/>
  <c r="C345" i="2"/>
  <c r="H344" i="2"/>
  <c r="H343" i="2"/>
  <c r="C343" i="2"/>
  <c r="H342" i="2"/>
  <c r="H341" i="2"/>
  <c r="H340" i="2"/>
  <c r="H339" i="2"/>
  <c r="C339" i="2"/>
  <c r="H338" i="2"/>
  <c r="H337" i="2"/>
  <c r="C337" i="2"/>
  <c r="H336" i="2"/>
  <c r="H335" i="2"/>
  <c r="C335" i="2"/>
  <c r="H334" i="2"/>
  <c r="H333" i="2"/>
  <c r="C333" i="2"/>
  <c r="H332" i="2"/>
  <c r="H331" i="2"/>
  <c r="C331" i="2"/>
  <c r="H330" i="2"/>
  <c r="H329" i="2"/>
  <c r="C329" i="2"/>
  <c r="H328" i="2"/>
  <c r="H327" i="2"/>
  <c r="C327" i="2"/>
  <c r="H326" i="2"/>
  <c r="H325" i="2"/>
  <c r="C325" i="2"/>
  <c r="H324" i="2"/>
  <c r="H323" i="2"/>
  <c r="C323" i="2"/>
  <c r="H322" i="2"/>
  <c r="H321" i="2"/>
  <c r="C321" i="2"/>
  <c r="H320" i="2"/>
  <c r="H319" i="2"/>
  <c r="C319" i="2"/>
  <c r="H318" i="2"/>
  <c r="H317" i="2"/>
  <c r="C317" i="2"/>
  <c r="H316" i="2"/>
  <c r="H315" i="2"/>
  <c r="C315" i="2"/>
  <c r="H314" i="2"/>
  <c r="H313" i="2"/>
  <c r="C313" i="2"/>
  <c r="H312" i="2"/>
  <c r="H311" i="2"/>
  <c r="C311" i="2"/>
  <c r="H310" i="2"/>
  <c r="H309" i="2"/>
  <c r="C309" i="2"/>
  <c r="H308" i="2"/>
  <c r="H307" i="2"/>
  <c r="C307" i="2"/>
  <c r="H306" i="2"/>
  <c r="H305" i="2"/>
  <c r="C305" i="2"/>
  <c r="H304" i="2"/>
  <c r="H303" i="2"/>
  <c r="H302" i="2"/>
  <c r="H301" i="2"/>
  <c r="C301" i="2"/>
  <c r="H300" i="2"/>
  <c r="H299" i="2"/>
  <c r="C299" i="2"/>
  <c r="H298" i="2"/>
  <c r="H297" i="2"/>
  <c r="C297" i="2"/>
  <c r="H296" i="2"/>
  <c r="H295" i="2"/>
  <c r="C295" i="2"/>
  <c r="H294" i="2"/>
  <c r="H293" i="2"/>
  <c r="C293" i="2"/>
  <c r="H292" i="2"/>
  <c r="H291" i="2"/>
  <c r="C291" i="2"/>
  <c r="H290" i="2"/>
  <c r="H289" i="2"/>
  <c r="C289" i="2"/>
  <c r="H288" i="2"/>
  <c r="H287" i="2"/>
  <c r="C287" i="2"/>
  <c r="H286" i="2"/>
  <c r="H285" i="2"/>
  <c r="H284" i="2"/>
  <c r="H283" i="2"/>
  <c r="C283" i="2"/>
  <c r="H282" i="2"/>
  <c r="H281" i="2"/>
  <c r="C281" i="2"/>
  <c r="H280" i="2"/>
  <c r="H279" i="2"/>
  <c r="C279" i="2"/>
  <c r="H278" i="2"/>
  <c r="H277" i="2"/>
  <c r="C277" i="2"/>
  <c r="H276" i="2"/>
  <c r="H275" i="2"/>
  <c r="C275" i="2"/>
  <c r="H274" i="2"/>
  <c r="H273" i="2"/>
  <c r="H272" i="2"/>
  <c r="H271" i="2"/>
  <c r="C271" i="2"/>
  <c r="H270" i="2"/>
  <c r="H269" i="2"/>
  <c r="C269" i="2"/>
  <c r="H268" i="2"/>
  <c r="H267" i="2"/>
  <c r="C267" i="2"/>
  <c r="H266" i="2"/>
  <c r="H265" i="2"/>
  <c r="C265" i="2"/>
  <c r="H264" i="2"/>
  <c r="H263" i="2"/>
  <c r="C263" i="2"/>
  <c r="H262" i="2"/>
  <c r="H261" i="2"/>
  <c r="C261" i="2"/>
  <c r="H260" i="2"/>
  <c r="H259" i="2"/>
  <c r="C259" i="2"/>
  <c r="H258" i="2"/>
  <c r="H257" i="2"/>
  <c r="C257" i="2"/>
  <c r="H256" i="2"/>
  <c r="H255" i="2"/>
  <c r="C255" i="2"/>
  <c r="H254" i="2"/>
  <c r="H253" i="2"/>
  <c r="H252" i="2"/>
  <c r="H251" i="2"/>
  <c r="C251" i="2"/>
  <c r="H250" i="2"/>
  <c r="H249" i="2"/>
  <c r="C249" i="2"/>
  <c r="H248" i="2"/>
  <c r="H247" i="2"/>
  <c r="C247" i="2"/>
  <c r="H246" i="2"/>
  <c r="H245" i="2"/>
  <c r="C245" i="2"/>
  <c r="H244" i="2"/>
  <c r="H243" i="2"/>
  <c r="C243" i="2"/>
  <c r="H242" i="2"/>
  <c r="H241" i="2"/>
  <c r="C241" i="2"/>
  <c r="H240" i="2"/>
  <c r="H239" i="2"/>
  <c r="C239" i="2"/>
  <c r="H238" i="2"/>
  <c r="H237" i="2"/>
  <c r="C237" i="2"/>
  <c r="H236" i="2"/>
  <c r="H235" i="2"/>
  <c r="C235" i="2"/>
  <c r="H234" i="2"/>
  <c r="H233" i="2"/>
  <c r="C233" i="2"/>
  <c r="H232" i="2"/>
  <c r="H231" i="2"/>
  <c r="C231" i="2"/>
  <c r="H230" i="2"/>
  <c r="H229" i="2"/>
  <c r="C229" i="2"/>
  <c r="H228" i="2"/>
  <c r="H227" i="2"/>
  <c r="C227" i="2"/>
  <c r="H226" i="2"/>
  <c r="H225" i="2"/>
  <c r="C225" i="2"/>
  <c r="H224" i="2"/>
  <c r="H223" i="2"/>
  <c r="C223" i="2"/>
  <c r="H222" i="2"/>
  <c r="H221" i="2"/>
  <c r="C221" i="2"/>
  <c r="H220" i="2"/>
  <c r="H219" i="2"/>
  <c r="C219" i="2"/>
  <c r="H218" i="2"/>
  <c r="H217" i="2"/>
  <c r="C217" i="2"/>
  <c r="H216" i="2"/>
  <c r="H215" i="2"/>
  <c r="C215" i="2"/>
  <c r="H214" i="2"/>
  <c r="H213" i="2"/>
  <c r="C213" i="2"/>
  <c r="H212" i="2"/>
  <c r="H211" i="2"/>
  <c r="C211" i="2"/>
  <c r="H210" i="2"/>
  <c r="H209" i="2"/>
  <c r="C209" i="2"/>
  <c r="H208" i="2"/>
  <c r="H207" i="2"/>
  <c r="C207" i="2"/>
  <c r="H206" i="2"/>
  <c r="H205" i="2"/>
  <c r="C205" i="2"/>
  <c r="H204" i="2"/>
  <c r="H203" i="2"/>
  <c r="H202" i="2"/>
  <c r="H201" i="2"/>
  <c r="H200" i="2"/>
  <c r="H199" i="2"/>
  <c r="C199" i="2"/>
  <c r="H198" i="2"/>
  <c r="H197" i="2"/>
  <c r="C197" i="2"/>
  <c r="H196" i="2"/>
  <c r="H195" i="2"/>
  <c r="H194" i="2"/>
  <c r="H193" i="2"/>
  <c r="C193" i="2"/>
  <c r="H192" i="2"/>
  <c r="H191" i="2"/>
  <c r="C191" i="2"/>
  <c r="H190" i="2"/>
  <c r="H189" i="2"/>
  <c r="C189" i="2"/>
  <c r="H188" i="2"/>
  <c r="H187" i="2"/>
  <c r="C187" i="2"/>
  <c r="H186" i="2"/>
  <c r="H185" i="2"/>
  <c r="C185" i="2"/>
  <c r="H184" i="2"/>
  <c r="H183" i="2"/>
  <c r="C183" i="2"/>
  <c r="H182" i="2"/>
  <c r="H181" i="2"/>
  <c r="C181" i="2"/>
  <c r="H180" i="2"/>
  <c r="H179" i="2"/>
  <c r="C179" i="2"/>
  <c r="H178" i="2"/>
  <c r="H177" i="2"/>
  <c r="C177" i="2"/>
  <c r="H176" i="2"/>
  <c r="H175" i="2"/>
  <c r="C175" i="2"/>
  <c r="H174" i="2"/>
  <c r="H173" i="2"/>
  <c r="H172" i="2"/>
  <c r="H171" i="2"/>
  <c r="H170" i="2"/>
  <c r="H169" i="2"/>
  <c r="C169" i="2"/>
  <c r="H168" i="2"/>
  <c r="H167" i="2"/>
  <c r="C167" i="2"/>
  <c r="H166" i="2"/>
  <c r="H165" i="2"/>
  <c r="C165" i="2"/>
  <c r="H164" i="2"/>
  <c r="H163" i="2"/>
  <c r="C163" i="2"/>
  <c r="H162" i="2"/>
  <c r="H161" i="2"/>
  <c r="C161" i="2"/>
  <c r="H160" i="2"/>
  <c r="H159" i="2"/>
  <c r="C159" i="2"/>
  <c r="H158" i="2"/>
  <c r="H157" i="2"/>
  <c r="C157" i="2"/>
  <c r="H156" i="2"/>
  <c r="H155" i="2"/>
  <c r="C155" i="2"/>
  <c r="H154" i="2"/>
  <c r="H153" i="2"/>
  <c r="C153" i="2"/>
  <c r="H152" i="2"/>
  <c r="H151" i="2"/>
  <c r="C151" i="2"/>
  <c r="H150" i="2"/>
  <c r="H149" i="2"/>
  <c r="C149" i="2"/>
  <c r="H148" i="2"/>
  <c r="H147" i="2"/>
  <c r="C147" i="2"/>
  <c r="H146" i="2"/>
  <c r="H145" i="2"/>
  <c r="C145" i="2"/>
  <c r="H144" i="2"/>
  <c r="H143" i="2"/>
  <c r="C143" i="2"/>
  <c r="H142" i="2"/>
  <c r="H141" i="2"/>
  <c r="C141" i="2"/>
  <c r="H140" i="2"/>
  <c r="H139" i="2"/>
  <c r="C139" i="2"/>
  <c r="H138" i="2"/>
  <c r="H137" i="2"/>
  <c r="C137" i="2"/>
  <c r="H136" i="2"/>
  <c r="H135" i="2"/>
  <c r="C135" i="2"/>
  <c r="H134" i="2"/>
  <c r="H133" i="2"/>
  <c r="C133" i="2"/>
  <c r="H132" i="2"/>
  <c r="H131" i="2"/>
  <c r="C131" i="2"/>
  <c r="H130" i="2"/>
  <c r="H129" i="2"/>
  <c r="C129" i="2"/>
  <c r="H128" i="2"/>
  <c r="H127" i="2"/>
  <c r="C127" i="2"/>
  <c r="H126" i="2"/>
  <c r="H125" i="2"/>
  <c r="C125" i="2"/>
  <c r="H124" i="2"/>
  <c r="H123" i="2"/>
  <c r="C123" i="2"/>
  <c r="H122" i="2"/>
  <c r="H121" i="2"/>
  <c r="C121" i="2"/>
  <c r="H120" i="2"/>
  <c r="H119" i="2"/>
  <c r="C119" i="2"/>
  <c r="H118" i="2"/>
  <c r="H117" i="2"/>
  <c r="C117" i="2"/>
  <c r="H116" i="2"/>
  <c r="H115" i="2"/>
  <c r="C115" i="2"/>
  <c r="H114" i="2"/>
  <c r="H113" i="2"/>
  <c r="C113" i="2"/>
  <c r="H112" i="2"/>
  <c r="H111" i="2"/>
  <c r="C111" i="2"/>
  <c r="H110" i="2"/>
  <c r="H109" i="2"/>
  <c r="C109" i="2"/>
  <c r="H108" i="2"/>
  <c r="H107" i="2"/>
  <c r="C107" i="2"/>
  <c r="H106" i="2"/>
  <c r="H105" i="2"/>
  <c r="C105" i="2"/>
  <c r="H104" i="2"/>
  <c r="H103" i="2"/>
  <c r="C103" i="2"/>
  <c r="H102" i="2"/>
  <c r="H101" i="2"/>
  <c r="C101" i="2"/>
  <c r="H100" i="2"/>
  <c r="H99" i="2"/>
  <c r="C99" i="2"/>
  <c r="H98" i="2"/>
  <c r="H97" i="2"/>
  <c r="C97" i="2"/>
  <c r="H96" i="2"/>
  <c r="H95" i="2"/>
  <c r="C95" i="2"/>
  <c r="H94" i="2"/>
  <c r="H93" i="2"/>
  <c r="C93" i="2"/>
  <c r="H92" i="2"/>
  <c r="H91" i="2"/>
  <c r="C91" i="2"/>
  <c r="H90" i="2"/>
  <c r="H89" i="2"/>
  <c r="C89" i="2"/>
  <c r="H88" i="2"/>
  <c r="H87" i="2"/>
  <c r="C87" i="2"/>
  <c r="H86" i="2"/>
  <c r="H85" i="2"/>
  <c r="C85" i="2"/>
  <c r="H84" i="2"/>
  <c r="H83" i="2"/>
  <c r="C83" i="2"/>
  <c r="H82" i="2"/>
  <c r="H81" i="2"/>
  <c r="C81" i="2"/>
  <c r="H80" i="2"/>
  <c r="H79" i="2"/>
  <c r="C79" i="2"/>
  <c r="H78" i="2"/>
  <c r="H77" i="2"/>
  <c r="C77" i="2"/>
  <c r="H76" i="2"/>
  <c r="H75" i="2"/>
  <c r="C75" i="2"/>
  <c r="H74" i="2"/>
  <c r="H73" i="2"/>
  <c r="C73" i="2"/>
  <c r="H72" i="2"/>
  <c r="H71" i="2"/>
  <c r="C71" i="2"/>
  <c r="H70" i="2"/>
  <c r="H69" i="2"/>
  <c r="C69" i="2"/>
  <c r="H68" i="2"/>
  <c r="H67" i="2"/>
  <c r="C67" i="2"/>
  <c r="H66" i="2"/>
  <c r="H65" i="2"/>
  <c r="C65" i="2"/>
  <c r="H64" i="2"/>
  <c r="H63" i="2"/>
  <c r="C63" i="2"/>
  <c r="H62" i="2"/>
  <c r="H61" i="2"/>
  <c r="H60" i="2"/>
  <c r="H59" i="2"/>
  <c r="C59" i="2"/>
  <c r="H58" i="2"/>
  <c r="H57" i="2"/>
  <c r="C57" i="2"/>
  <c r="H56" i="2"/>
  <c r="H55" i="2"/>
  <c r="C55" i="2"/>
  <c r="H54" i="2"/>
  <c r="H53" i="2"/>
  <c r="C53" i="2"/>
  <c r="H52" i="2"/>
  <c r="H51" i="2"/>
  <c r="H50" i="2"/>
  <c r="H49" i="2"/>
  <c r="C49" i="2"/>
  <c r="H48" i="2"/>
  <c r="H47" i="2"/>
  <c r="C47" i="2"/>
  <c r="H46" i="2"/>
  <c r="H45" i="2"/>
  <c r="C45" i="2"/>
  <c r="H44" i="2"/>
  <c r="H43" i="2"/>
  <c r="C43" i="2"/>
  <c r="H42" i="2"/>
  <c r="H41" i="2"/>
  <c r="C41" i="2"/>
  <c r="H40" i="2"/>
  <c r="H39" i="2"/>
  <c r="C39" i="2"/>
  <c r="H38" i="2"/>
  <c r="H37" i="2"/>
  <c r="C37" i="2"/>
  <c r="H36" i="2"/>
  <c r="H35" i="2"/>
  <c r="C35" i="2"/>
  <c r="H34" i="2"/>
  <c r="H33" i="2"/>
  <c r="C33" i="2"/>
  <c r="H32" i="2"/>
  <c r="H31" i="2"/>
  <c r="C31" i="2"/>
  <c r="H30" i="2"/>
  <c r="H29" i="2"/>
  <c r="C29" i="2"/>
  <c r="H28" i="2"/>
  <c r="H27" i="2"/>
  <c r="C27" i="2"/>
  <c r="H26" i="2"/>
  <c r="H25" i="2"/>
  <c r="C25" i="2"/>
  <c r="H24" i="2"/>
  <c r="H23" i="2"/>
  <c r="C23" i="2"/>
  <c r="H22" i="2"/>
  <c r="H21" i="2"/>
  <c r="C21" i="2"/>
  <c r="H20" i="2"/>
  <c r="H19" i="2"/>
  <c r="C19" i="2"/>
  <c r="H18" i="2"/>
  <c r="H17" i="2"/>
  <c r="H16" i="2"/>
  <c r="H15" i="2"/>
  <c r="C15" i="2"/>
  <c r="H14" i="2"/>
  <c r="H13" i="2"/>
  <c r="C13" i="2"/>
  <c r="C11" i="2"/>
  <c r="C9" i="2"/>
  <c r="C7" i="2"/>
  <c r="C5" i="2"/>
  <c r="C3" i="2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77" i="3"/>
  <c r="C77" i="3"/>
  <c r="B78" i="3"/>
  <c r="C78" i="3"/>
  <c r="B378" i="3"/>
  <c r="C378" i="3"/>
  <c r="B379" i="3"/>
  <c r="C379" i="3"/>
  <c r="B380" i="3"/>
  <c r="C380" i="3"/>
  <c r="B381" i="3"/>
  <c r="C381" i="3"/>
  <c r="B382" i="3"/>
  <c r="C382" i="3"/>
  <c r="B383" i="3"/>
  <c r="C383" i="3"/>
  <c r="B384" i="3"/>
  <c r="C384" i="3"/>
  <c r="B385" i="3"/>
  <c r="C385" i="3"/>
  <c r="B386" i="3"/>
  <c r="C386" i="3"/>
  <c r="B387" i="3"/>
  <c r="C387" i="3"/>
  <c r="B388" i="3"/>
  <c r="C388" i="3"/>
  <c r="B389" i="3"/>
  <c r="C389" i="3"/>
  <c r="B390" i="3"/>
  <c r="C390" i="3"/>
  <c r="B391" i="3"/>
  <c r="C391" i="3"/>
  <c r="B392" i="3"/>
  <c r="C392" i="3"/>
  <c r="B358" i="3"/>
  <c r="C358" i="3"/>
  <c r="B359" i="3"/>
  <c r="C359" i="3"/>
  <c r="B360" i="3"/>
  <c r="C360" i="3"/>
  <c r="B361" i="3"/>
  <c r="C361" i="3"/>
  <c r="B362" i="3"/>
  <c r="C362" i="3"/>
  <c r="B363" i="3"/>
  <c r="C363" i="3"/>
  <c r="B364" i="3"/>
  <c r="C364" i="3"/>
  <c r="B365" i="3"/>
  <c r="C365" i="3"/>
  <c r="B366" i="3"/>
  <c r="C366" i="3"/>
  <c r="B367" i="3"/>
  <c r="C367" i="3"/>
  <c r="B368" i="3"/>
  <c r="C368" i="3"/>
  <c r="B346" i="3"/>
  <c r="C346" i="3"/>
  <c r="B347" i="3"/>
  <c r="C347" i="3"/>
  <c r="B348" i="3"/>
  <c r="C348" i="3"/>
  <c r="B322" i="3"/>
  <c r="C322" i="3"/>
  <c r="B323" i="3"/>
  <c r="C323" i="3"/>
  <c r="B324" i="3"/>
  <c r="C324" i="3"/>
  <c r="B325" i="3"/>
  <c r="C325" i="3"/>
  <c r="B326" i="3"/>
  <c r="C326" i="3"/>
  <c r="B327" i="3"/>
  <c r="C327" i="3"/>
  <c r="B328" i="3"/>
  <c r="C328" i="3"/>
  <c r="B329" i="3"/>
  <c r="C329" i="3"/>
  <c r="B330" i="3"/>
  <c r="C330" i="3"/>
  <c r="B331" i="3"/>
  <c r="C331" i="3"/>
  <c r="B332" i="3"/>
  <c r="C332" i="3"/>
  <c r="B333" i="3"/>
  <c r="C333" i="3"/>
  <c r="B334" i="3"/>
  <c r="C334" i="3"/>
  <c r="B335" i="3"/>
  <c r="C335" i="3"/>
  <c r="B336" i="3"/>
  <c r="C336" i="3"/>
  <c r="B337" i="3"/>
  <c r="C337" i="3"/>
  <c r="B338" i="3"/>
  <c r="C338" i="3"/>
  <c r="B339" i="3"/>
  <c r="C339" i="3"/>
  <c r="B340" i="3"/>
  <c r="C340" i="3"/>
  <c r="B341" i="3"/>
  <c r="C341" i="3"/>
  <c r="B311" i="3"/>
  <c r="C311" i="3"/>
  <c r="B312" i="3"/>
  <c r="C312" i="3"/>
  <c r="B313" i="3"/>
  <c r="C313" i="3"/>
  <c r="B314" i="3"/>
  <c r="C314" i="3"/>
  <c r="B315" i="3"/>
  <c r="C315" i="3"/>
  <c r="B316" i="3"/>
  <c r="C316" i="3"/>
  <c r="B317" i="3"/>
  <c r="C317" i="3"/>
  <c r="B298" i="3"/>
  <c r="C298" i="3"/>
  <c r="B299" i="3"/>
  <c r="C299" i="3"/>
  <c r="B300" i="3"/>
  <c r="C300" i="3"/>
  <c r="B301" i="3"/>
  <c r="C301" i="3"/>
  <c r="B302" i="3"/>
  <c r="C302" i="3"/>
  <c r="B303" i="3"/>
  <c r="C303" i="3"/>
  <c r="B304" i="3"/>
  <c r="C304" i="3"/>
  <c r="B305" i="3"/>
  <c r="C305" i="3"/>
  <c r="B306" i="3"/>
  <c r="C306" i="3"/>
  <c r="C297" i="3"/>
  <c r="B297" i="3"/>
  <c r="B288" i="3"/>
  <c r="C288" i="3"/>
  <c r="B289" i="3"/>
  <c r="C289" i="3"/>
  <c r="B290" i="3"/>
  <c r="C290" i="3"/>
  <c r="B291" i="3"/>
  <c r="C291" i="3"/>
  <c r="B292" i="3"/>
  <c r="C292" i="3"/>
  <c r="B293" i="3"/>
  <c r="C293" i="3"/>
  <c r="B278" i="3"/>
  <c r="C278" i="3"/>
  <c r="B279" i="3"/>
  <c r="C279" i="3"/>
  <c r="B280" i="3"/>
  <c r="C280" i="3"/>
  <c r="B281" i="3"/>
  <c r="C281" i="3"/>
  <c r="B282" i="3"/>
  <c r="C282" i="3"/>
  <c r="B283" i="3"/>
  <c r="C283" i="3"/>
  <c r="B267" i="3"/>
  <c r="C267" i="3"/>
  <c r="B268" i="3"/>
  <c r="C268" i="3"/>
  <c r="B269" i="3"/>
  <c r="C269" i="3"/>
  <c r="B270" i="3"/>
  <c r="C270" i="3"/>
  <c r="B271" i="3"/>
  <c r="C271" i="3"/>
  <c r="B272" i="3"/>
  <c r="C272" i="3"/>
  <c r="B273" i="3"/>
  <c r="C273" i="3"/>
  <c r="B256" i="3"/>
  <c r="C256" i="3"/>
  <c r="B257" i="3"/>
  <c r="C257" i="3"/>
  <c r="B258" i="3"/>
  <c r="C258" i="3"/>
  <c r="B259" i="3"/>
  <c r="C259" i="3"/>
  <c r="B260" i="3"/>
  <c r="C260" i="3"/>
  <c r="B261" i="3"/>
  <c r="C261" i="3"/>
  <c r="B262" i="3"/>
  <c r="C262" i="3"/>
  <c r="B239" i="3"/>
  <c r="C239" i="3"/>
  <c r="B240" i="3"/>
  <c r="C240" i="3"/>
  <c r="B241" i="3"/>
  <c r="C241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30" i="3"/>
  <c r="C230" i="3"/>
  <c r="B231" i="3"/>
  <c r="C231" i="3"/>
  <c r="B232" i="3"/>
  <c r="C232" i="3"/>
  <c r="B233" i="3"/>
  <c r="C233" i="3"/>
  <c r="B234" i="3"/>
  <c r="C234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B227" i="3"/>
  <c r="C227" i="3"/>
  <c r="B228" i="3"/>
  <c r="C228" i="3"/>
  <c r="B229" i="3"/>
  <c r="C229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C7" i="3"/>
  <c r="C8" i="3"/>
  <c r="C9" i="3"/>
  <c r="C10" i="3"/>
  <c r="C11" i="3"/>
  <c r="C12" i="3"/>
  <c r="C13" i="3"/>
  <c r="C14" i="3"/>
  <c r="C15" i="3"/>
  <c r="C16" i="3"/>
  <c r="C17" i="3"/>
  <c r="C193" i="8"/>
  <c r="C313" i="8"/>
  <c r="C201" i="8"/>
  <c r="C120" i="8"/>
  <c r="C17" i="8"/>
  <c r="C143" i="8"/>
  <c r="C423" i="8"/>
  <c r="C446" i="8"/>
  <c r="C168" i="8"/>
  <c r="C315" i="8"/>
  <c r="C112" i="8"/>
  <c r="C176" i="8"/>
  <c r="C331" i="8"/>
  <c r="C425" i="8"/>
  <c r="C335" i="8"/>
  <c r="C258" i="8"/>
  <c r="C222" i="8"/>
  <c r="C9" i="8"/>
  <c r="C305" i="8"/>
  <c r="C203" i="8"/>
  <c r="C466" i="8"/>
  <c r="C205" i="8"/>
  <c r="C37" i="8"/>
  <c r="C63" i="8"/>
  <c r="C242" i="8"/>
  <c r="C23" i="8"/>
  <c r="C325" i="8"/>
  <c r="C399" i="8"/>
  <c r="C490" i="8"/>
  <c r="C244" i="8"/>
  <c r="C210" i="8"/>
  <c r="C382" i="8"/>
  <c r="C208" i="8"/>
  <c r="C350" i="8"/>
  <c r="C235" i="8"/>
  <c r="C84" i="8"/>
  <c r="C261" i="8"/>
  <c r="C186" i="8"/>
  <c r="C348" i="8"/>
  <c r="C97" i="8"/>
  <c r="C392" i="8"/>
  <c r="C410" i="8"/>
  <c r="C374" i="8"/>
  <c r="C214" i="8"/>
  <c r="C302" i="8"/>
  <c r="C67" i="8"/>
  <c r="C510" i="8"/>
  <c r="C90" i="8"/>
  <c r="C420" i="8"/>
  <c r="C247" i="8"/>
  <c r="C56" i="8"/>
  <c r="C298" i="8"/>
  <c r="C318" i="8"/>
  <c r="C54" i="8"/>
  <c r="C512" i="8"/>
  <c r="C239" i="8"/>
  <c r="C138" i="8"/>
  <c r="C287" i="8"/>
  <c r="C86" i="8"/>
  <c r="C92" i="8"/>
  <c r="C182" i="8"/>
  <c r="C368" i="8"/>
  <c r="C148" i="8"/>
  <c r="C109" i="8"/>
  <c r="C177" i="8"/>
  <c r="C74" i="8"/>
  <c r="C255" i="8"/>
  <c r="C80" i="8"/>
  <c r="C300" i="8"/>
  <c r="C273" i="8"/>
  <c r="C99" i="8"/>
  <c r="C171" i="8"/>
  <c r="C20" i="8"/>
  <c r="C206" i="8"/>
  <c r="C76" i="8"/>
  <c r="C443" i="8"/>
  <c r="C435" i="8"/>
  <c r="C491" i="8"/>
  <c r="C78" i="8"/>
  <c r="C184" i="8"/>
  <c r="C48" i="8"/>
  <c r="C457" i="8"/>
  <c r="C296" i="8"/>
  <c r="C380" i="8"/>
  <c r="C169" i="8"/>
  <c r="C408" i="8"/>
  <c r="C497" i="8"/>
  <c r="C40" i="8"/>
  <c r="C269" i="8"/>
  <c r="C165" i="8"/>
  <c r="C30" i="8"/>
  <c r="C447" i="8"/>
  <c r="C378" i="8"/>
  <c r="C338" i="8"/>
  <c r="C508" i="8"/>
  <c r="C212" i="8"/>
  <c r="C483" i="8"/>
  <c r="C430" i="8"/>
  <c r="C18" i="8"/>
  <c r="C146" i="8"/>
  <c r="C406" i="8"/>
  <c r="C471" i="8"/>
  <c r="C190" i="8"/>
  <c r="C38" i="8"/>
  <c r="C386" i="8"/>
  <c r="C416" i="8"/>
  <c r="C473" i="8"/>
  <c r="C366" i="8"/>
  <c r="C173" i="8"/>
  <c r="C233" i="8"/>
  <c r="C140" i="8"/>
  <c r="C267" i="8"/>
  <c r="C455" i="8"/>
  <c r="C388" i="8"/>
  <c r="C58" i="8"/>
  <c r="C71" i="8"/>
  <c r="C352" i="8"/>
  <c r="C123" i="8"/>
  <c r="C249" i="8"/>
  <c r="C42" i="8"/>
  <c r="C219" i="8"/>
  <c r="C412" i="8"/>
  <c r="C130" i="8"/>
  <c r="C161" i="8"/>
  <c r="C265" i="8"/>
  <c r="C384" i="8"/>
  <c r="C414" i="8"/>
  <c r="C322" i="8"/>
  <c r="C60" i="8"/>
  <c r="C69" i="8"/>
  <c r="C426" i="8"/>
  <c r="C281" i="8"/>
  <c r="C152" i="8"/>
  <c r="C259" i="8"/>
  <c r="C364" i="8"/>
  <c r="C154" i="8"/>
  <c r="C50" i="8"/>
  <c r="C196" i="8"/>
  <c r="C451" i="8"/>
  <c r="C499" i="8"/>
  <c r="C453" i="8"/>
  <c r="C263" i="8"/>
  <c r="C469" i="8"/>
  <c r="C216" i="8"/>
  <c r="C336" i="8"/>
  <c r="C485" i="8"/>
  <c r="C159" i="8"/>
  <c r="C501" i="8"/>
  <c r="C495" i="8"/>
  <c r="C506" i="8"/>
  <c r="C320" i="8"/>
  <c r="C441" i="8"/>
  <c r="C294" i="8"/>
  <c r="C459" i="8"/>
  <c r="C237" i="8"/>
  <c r="C285" i="8"/>
  <c r="C150" i="8"/>
  <c r="C394" i="8"/>
  <c r="C308" i="8"/>
  <c r="C292" i="8"/>
  <c r="C132" i="8"/>
  <c r="C134" i="8"/>
  <c r="C277" i="8"/>
  <c r="C156" i="8"/>
  <c r="C113" i="8"/>
  <c r="C52" i="8"/>
  <c r="C342" i="8"/>
  <c r="C198" i="8"/>
  <c r="C433" i="8"/>
  <c r="C28" i="8"/>
  <c r="C326" i="8"/>
  <c r="C88" i="8"/>
  <c r="C449" i="8"/>
  <c r="C479" i="8"/>
  <c r="C194" i="8"/>
  <c r="C481" i="8"/>
  <c r="C144" i="8"/>
  <c r="C2" i="8"/>
  <c r="C231" i="8"/>
  <c r="C487" i="8"/>
  <c r="C370" i="8"/>
  <c r="C223" i="8"/>
  <c r="C275" i="8"/>
  <c r="C44" i="8"/>
  <c r="C121" i="8"/>
  <c r="C271" i="8"/>
  <c r="C390" i="8"/>
  <c r="C376" i="8"/>
  <c r="C10" i="8"/>
  <c r="C14" i="8"/>
  <c r="C328" i="8"/>
  <c r="C503" i="8"/>
  <c r="C128" i="8"/>
  <c r="C475" i="8"/>
  <c r="C477" i="8"/>
  <c r="C332" i="8"/>
  <c r="C136" i="8"/>
  <c r="C65" i="8"/>
  <c r="C404" i="8"/>
  <c r="C253" i="8"/>
  <c r="C437" i="8"/>
  <c r="C463" i="8"/>
  <c r="C26" i="8"/>
  <c r="C344" i="8"/>
  <c r="C101" i="8"/>
  <c r="C24" i="8"/>
  <c r="C283" i="8"/>
  <c r="C306" i="8"/>
  <c r="C362" i="8"/>
  <c r="C461" i="8"/>
  <c r="C310" i="8"/>
  <c r="C356" i="8"/>
  <c r="C107" i="8"/>
  <c r="C418" i="8"/>
  <c r="C372" i="8"/>
  <c r="C6" i="8"/>
  <c r="C105" i="8"/>
  <c r="C180" i="8"/>
  <c r="C279" i="8"/>
  <c r="C34" i="8"/>
  <c r="C46" i="8"/>
  <c r="C428" i="8"/>
  <c r="C117" i="8"/>
  <c r="C245" i="8"/>
  <c r="C439" i="8"/>
  <c r="C493" i="8"/>
  <c r="C290" i="8"/>
  <c r="C400" i="8"/>
  <c r="C12" i="8"/>
  <c r="C4" i="8"/>
  <c r="D67" i="3" l="1"/>
  <c r="D66" i="3"/>
  <c r="D61" i="3"/>
  <c r="D107" i="3"/>
  <c r="D330" i="3"/>
  <c r="D340" i="3"/>
  <c r="D62" i="3"/>
  <c r="D78" i="3"/>
  <c r="D13" i="3"/>
  <c r="D16" i="3"/>
  <c r="D7" i="3"/>
  <c r="D9" i="3"/>
  <c r="D63" i="3"/>
  <c r="D77" i="3"/>
  <c r="D80" i="3"/>
  <c r="D82" i="3"/>
  <c r="D85" i="3"/>
  <c r="D93" i="3"/>
  <c r="D96" i="3"/>
  <c r="D101" i="3"/>
  <c r="D103" i="3"/>
  <c r="D105" i="3"/>
  <c r="D116" i="3"/>
  <c r="D121" i="3"/>
  <c r="D123" i="3"/>
  <c r="D130" i="3"/>
  <c r="D134" i="3"/>
  <c r="D137" i="3"/>
  <c r="D142" i="3"/>
  <c r="D341" i="3"/>
  <c r="D346" i="3"/>
  <c r="D363" i="3"/>
  <c r="D365" i="3"/>
  <c r="D378" i="3"/>
  <c r="D382" i="3"/>
  <c r="D384" i="3"/>
  <c r="D386" i="3"/>
  <c r="D388" i="3"/>
  <c r="D391" i="3"/>
  <c r="D392" i="3"/>
  <c r="D90" i="3"/>
  <c r="D140" i="3"/>
  <c r="D98" i="3"/>
  <c r="D126" i="3"/>
  <c r="D359" i="3"/>
  <c r="D79" i="3"/>
  <c r="D113" i="3"/>
  <c r="D14" i="3"/>
  <c r="D100" i="3"/>
  <c r="D128" i="3"/>
  <c r="D138" i="3"/>
  <c r="D12" i="3"/>
  <c r="D15" i="3"/>
  <c r="D114" i="3"/>
  <c r="D362" i="3"/>
  <c r="D11" i="3"/>
  <c r="D118" i="3"/>
  <c r="D136" i="3"/>
  <c r="D367" i="3"/>
  <c r="D10" i="3"/>
  <c r="D135" i="3"/>
  <c r="D334" i="3"/>
  <c r="D335" i="3"/>
  <c r="D337" i="3"/>
  <c r="D338" i="3"/>
  <c r="D64" i="3"/>
  <c r="D88" i="3"/>
  <c r="D141" i="3"/>
  <c r="D348" i="3"/>
  <c r="D81" i="3"/>
  <c r="D91" i="3"/>
  <c r="D95" i="3"/>
  <c r="D119" i="3"/>
  <c r="D358" i="3"/>
  <c r="D364" i="3"/>
  <c r="D379" i="3"/>
  <c r="D385" i="3"/>
  <c r="D325" i="3"/>
  <c r="D326" i="3"/>
  <c r="D327" i="3"/>
  <c r="D328" i="3"/>
  <c r="D329" i="3"/>
  <c r="D331" i="3"/>
  <c r="D332" i="3"/>
  <c r="D333" i="3"/>
  <c r="D347" i="3"/>
  <c r="D360" i="3"/>
  <c r="D366" i="3"/>
  <c r="D380" i="3"/>
  <c r="D387" i="3"/>
  <c r="D65" i="3"/>
  <c r="D84" i="3"/>
  <c r="D86" i="3"/>
  <c r="D87" i="3"/>
  <c r="D94" i="3"/>
  <c r="D97" i="3"/>
  <c r="D104" i="3"/>
  <c r="D106" i="3"/>
  <c r="D115" i="3"/>
  <c r="D117" i="3"/>
  <c r="D120" i="3"/>
  <c r="D122" i="3"/>
  <c r="D124" i="3"/>
  <c r="D125" i="3"/>
  <c r="D129" i="3"/>
  <c r="D133" i="3"/>
  <c r="D139" i="3"/>
  <c r="D336" i="3"/>
  <c r="D361" i="3"/>
  <c r="D383" i="3"/>
  <c r="D389" i="3"/>
  <c r="D8" i="3"/>
  <c r="D17" i="3"/>
  <c r="D89" i="3"/>
  <c r="D92" i="3"/>
  <c r="D99" i="3"/>
  <c r="D102" i="3"/>
  <c r="D112" i="3"/>
  <c r="D127" i="3"/>
  <c r="D131" i="3"/>
  <c r="D339" i="3"/>
  <c r="D368" i="3"/>
  <c r="D390" i="3"/>
  <c r="D221" i="3"/>
  <c r="D222" i="3"/>
  <c r="D223" i="3"/>
  <c r="D224" i="3"/>
  <c r="D225" i="3"/>
  <c r="D226" i="3"/>
  <c r="D227" i="3"/>
  <c r="D228" i="3"/>
  <c r="D229" i="3"/>
  <c r="D230" i="3"/>
  <c r="D231" i="3"/>
  <c r="D248" i="3"/>
  <c r="D232" i="3"/>
  <c r="D233" i="3"/>
  <c r="D234" i="3"/>
  <c r="D239" i="3"/>
  <c r="D240" i="3"/>
  <c r="D241" i="3"/>
  <c r="D242" i="3"/>
  <c r="D243" i="3"/>
  <c r="D244" i="3"/>
  <c r="D245" i="3"/>
  <c r="D246" i="3"/>
  <c r="D247" i="3"/>
  <c r="D256" i="3"/>
  <c r="D257" i="3"/>
  <c r="D258" i="3"/>
  <c r="D259" i="3"/>
  <c r="D260" i="3"/>
  <c r="D261" i="3"/>
  <c r="D262" i="3"/>
  <c r="D267" i="3"/>
  <c r="D268" i="3"/>
  <c r="D269" i="3"/>
  <c r="D270" i="3"/>
  <c r="D271" i="3"/>
  <c r="D272" i="3"/>
  <c r="D273" i="3"/>
  <c r="D278" i="3"/>
  <c r="D279" i="3"/>
  <c r="D280" i="3"/>
  <c r="D281" i="3"/>
  <c r="D283" i="3"/>
  <c r="D288" i="3"/>
  <c r="D289" i="3"/>
  <c r="D290" i="3"/>
  <c r="D291" i="3"/>
  <c r="D292" i="3"/>
  <c r="D293" i="3"/>
  <c r="D297" i="3"/>
  <c r="D298" i="3"/>
  <c r="D299" i="3"/>
  <c r="D300" i="3"/>
  <c r="D301" i="3"/>
  <c r="D302" i="3"/>
  <c r="D303" i="3"/>
  <c r="D304" i="3"/>
  <c r="D305" i="3"/>
  <c r="D306" i="3"/>
  <c r="D311" i="3"/>
  <c r="D312" i="3"/>
  <c r="D313" i="3"/>
  <c r="D314" i="3"/>
  <c r="D315" i="3"/>
  <c r="D316" i="3"/>
  <c r="D317" i="3"/>
  <c r="D322" i="3"/>
  <c r="D323" i="3"/>
  <c r="D324" i="3"/>
  <c r="D381" i="3"/>
  <c r="D282" i="3"/>
  <c r="D83" i="3" l="1"/>
  <c r="D132" i="3"/>
  <c r="B403" i="3" l="1"/>
  <c r="C403" i="3"/>
  <c r="B404" i="3"/>
  <c r="C404" i="3"/>
  <c r="B405" i="3"/>
  <c r="C405" i="3"/>
  <c r="B406" i="3"/>
  <c r="C406" i="3"/>
  <c r="B407" i="3"/>
  <c r="C407" i="3"/>
  <c r="B411" i="3"/>
  <c r="C411" i="3"/>
  <c r="B412" i="3"/>
  <c r="C412" i="3"/>
  <c r="B413" i="3"/>
  <c r="C413" i="3"/>
  <c r="B414" i="3"/>
  <c r="C414" i="3"/>
  <c r="B415" i="3"/>
  <c r="C415" i="3"/>
  <c r="B416" i="3"/>
  <c r="C416" i="3"/>
  <c r="B420" i="3"/>
  <c r="C420" i="3"/>
  <c r="B421" i="3"/>
  <c r="C421" i="3"/>
  <c r="B425" i="3"/>
  <c r="C425" i="3"/>
  <c r="B426" i="3"/>
  <c r="C426" i="3"/>
  <c r="B427" i="3"/>
  <c r="C427" i="3"/>
  <c r="B428" i="3"/>
  <c r="C428" i="3"/>
  <c r="B429" i="3"/>
  <c r="C429" i="3"/>
  <c r="B430" i="3"/>
  <c r="C430" i="3"/>
  <c r="B431" i="3"/>
  <c r="C431" i="3"/>
  <c r="B435" i="3"/>
  <c r="C435" i="3"/>
  <c r="B436" i="3"/>
  <c r="C436" i="3"/>
  <c r="B437" i="3"/>
  <c r="C437" i="3"/>
  <c r="B438" i="3"/>
  <c r="C438" i="3"/>
  <c r="B442" i="3"/>
  <c r="C442" i="3"/>
  <c r="B443" i="3"/>
  <c r="C443" i="3"/>
  <c r="B444" i="3"/>
  <c r="C444" i="3"/>
  <c r="B448" i="3"/>
  <c r="C448" i="3"/>
  <c r="B449" i="3"/>
  <c r="C449" i="3"/>
  <c r="B450" i="3"/>
  <c r="C450" i="3"/>
  <c r="B451" i="3"/>
  <c r="C451" i="3"/>
  <c r="B402" i="3"/>
  <c r="C402" i="3"/>
  <c r="B21" i="3"/>
  <c r="C21" i="3"/>
  <c r="B22" i="3"/>
  <c r="C22" i="3"/>
  <c r="B23" i="3"/>
  <c r="C23" i="3"/>
  <c r="B24" i="3"/>
  <c r="C24" i="3"/>
  <c r="B28" i="3"/>
  <c r="C28" i="3"/>
  <c r="B29" i="3"/>
  <c r="C29" i="3"/>
  <c r="B33" i="3"/>
  <c r="C33" i="3"/>
  <c r="B34" i="3"/>
  <c r="C34" i="3"/>
  <c r="B35" i="3"/>
  <c r="C35" i="3"/>
  <c r="B36" i="3"/>
  <c r="C36" i="3"/>
  <c r="B40" i="3"/>
  <c r="C40" i="3"/>
  <c r="B41" i="3"/>
  <c r="C41" i="3"/>
  <c r="B42" i="3"/>
  <c r="C42" i="3"/>
  <c r="B43" i="3"/>
  <c r="C43" i="3"/>
  <c r="B47" i="3"/>
  <c r="C47" i="3"/>
  <c r="B51" i="3"/>
  <c r="C51" i="3"/>
  <c r="B52" i="3"/>
  <c r="C52" i="3"/>
  <c r="B53" i="3"/>
  <c r="C53" i="3"/>
  <c r="B54" i="3"/>
  <c r="C54" i="3"/>
  <c r="B55" i="3"/>
  <c r="C55" i="3"/>
  <c r="B56" i="3"/>
  <c r="C56" i="3"/>
  <c r="B60" i="3"/>
  <c r="C60" i="3"/>
  <c r="B71" i="3"/>
  <c r="C71" i="3"/>
  <c r="B72" i="3"/>
  <c r="C72" i="3"/>
  <c r="B76" i="3"/>
  <c r="C76" i="3"/>
  <c r="B111" i="3"/>
  <c r="C111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4" i="3"/>
  <c r="C174" i="3"/>
  <c r="B175" i="3"/>
  <c r="C175" i="3"/>
  <c r="B176" i="3"/>
  <c r="C176" i="3"/>
  <c r="B180" i="3"/>
  <c r="C180" i="3"/>
  <c r="B181" i="3"/>
  <c r="C181" i="3"/>
  <c r="B182" i="3"/>
  <c r="C182" i="3"/>
  <c r="B186" i="3"/>
  <c r="C186" i="3"/>
  <c r="B187" i="3"/>
  <c r="C187" i="3"/>
  <c r="B191" i="3"/>
  <c r="C191" i="3"/>
  <c r="B192" i="3"/>
  <c r="C192" i="3"/>
  <c r="B193" i="3"/>
  <c r="C193" i="3"/>
  <c r="B194" i="3"/>
  <c r="C194" i="3"/>
  <c r="B198" i="3"/>
  <c r="C198" i="3"/>
  <c r="B199" i="3"/>
  <c r="C199" i="3"/>
  <c r="B203" i="3"/>
  <c r="C203" i="3"/>
  <c r="B204" i="3"/>
  <c r="C204" i="3"/>
  <c r="B208" i="3"/>
  <c r="C208" i="3"/>
  <c r="B209" i="3"/>
  <c r="C209" i="3"/>
  <c r="B213" i="3"/>
  <c r="C213" i="3"/>
  <c r="B214" i="3"/>
  <c r="C214" i="3"/>
  <c r="B215" i="3"/>
  <c r="C215" i="3"/>
  <c r="B216" i="3"/>
  <c r="C216" i="3"/>
  <c r="B220" i="3"/>
  <c r="C220" i="3"/>
  <c r="B238" i="3"/>
  <c r="C238" i="3"/>
  <c r="B252" i="3"/>
  <c r="C252" i="3"/>
  <c r="B253" i="3"/>
  <c r="C253" i="3"/>
  <c r="B254" i="3"/>
  <c r="C254" i="3"/>
  <c r="B255" i="3"/>
  <c r="C255" i="3"/>
  <c r="B266" i="3"/>
  <c r="C266" i="3"/>
  <c r="B277" i="3"/>
  <c r="C277" i="3"/>
  <c r="B287" i="3"/>
  <c r="C287" i="3"/>
  <c r="B310" i="3"/>
  <c r="C310" i="3"/>
  <c r="B321" i="3"/>
  <c r="C321" i="3"/>
  <c r="B345" i="3"/>
  <c r="C345" i="3"/>
  <c r="B352" i="3"/>
  <c r="C352" i="3"/>
  <c r="B353" i="3"/>
  <c r="C353" i="3"/>
  <c r="B357" i="3"/>
  <c r="C357" i="3"/>
  <c r="B372" i="3"/>
  <c r="C372" i="3"/>
  <c r="B373" i="3"/>
  <c r="C373" i="3"/>
  <c r="B377" i="3"/>
  <c r="C377" i="3"/>
  <c r="B396" i="3"/>
  <c r="C396" i="3"/>
  <c r="B397" i="3"/>
  <c r="C397" i="3"/>
  <c r="B398" i="3"/>
  <c r="C398" i="3"/>
  <c r="B7" i="3"/>
  <c r="B8" i="3"/>
  <c r="B9" i="3"/>
  <c r="B10" i="3"/>
  <c r="B11" i="3"/>
  <c r="B12" i="3"/>
  <c r="B13" i="3"/>
  <c r="B14" i="3"/>
  <c r="B15" i="3"/>
  <c r="B16" i="3"/>
  <c r="B17" i="3"/>
  <c r="C6" i="3"/>
  <c r="B6" i="3"/>
  <c r="D253" i="3" l="1"/>
  <c r="D406" i="3"/>
  <c r="D438" i="3"/>
  <c r="D407" i="3"/>
  <c r="D6" i="3"/>
  <c r="D403" i="3" l="1"/>
  <c r="D411" i="3"/>
  <c r="D412" i="3"/>
  <c r="D413" i="3"/>
  <c r="D414" i="3"/>
  <c r="D415" i="3"/>
  <c r="D421" i="3"/>
  <c r="D416" i="3"/>
  <c r="D420" i="3"/>
  <c r="D425" i="3"/>
  <c r="D426" i="3"/>
  <c r="D427" i="3"/>
  <c r="D430" i="3"/>
  <c r="D404" i="3"/>
  <c r="D405" i="3"/>
  <c r="D428" i="3"/>
  <c r="D442" i="3"/>
  <c r="D435" i="3"/>
  <c r="D436" i="3"/>
  <c r="D437" i="3"/>
  <c r="D429" i="3"/>
  <c r="D443" i="3"/>
  <c r="D444" i="3"/>
  <c r="D402" i="3"/>
  <c r="D448" i="3"/>
  <c r="D449" i="3"/>
  <c r="D450" i="3"/>
  <c r="D451" i="3"/>
  <c r="D431" i="3"/>
  <c r="D397" i="3" l="1"/>
  <c r="D396" i="3"/>
  <c r="D398" i="3"/>
  <c r="D28" i="3" l="1"/>
  <c r="D186" i="3"/>
  <c r="D55" i="3"/>
  <c r="D41" i="3"/>
  <c r="D266" i="3"/>
  <c r="D252" i="3"/>
  <c r="D174" i="3"/>
  <c r="D162" i="3"/>
  <c r="D154" i="3"/>
  <c r="D146" i="3"/>
  <c r="D71" i="3"/>
  <c r="D53" i="3"/>
  <c r="D36" i="3"/>
  <c r="D352" i="3"/>
  <c r="D193" i="3"/>
  <c r="D180" i="3"/>
  <c r="D170" i="3"/>
  <c r="D168" i="3"/>
  <c r="D164" i="3"/>
  <c r="D161" i="3"/>
  <c r="D157" i="3"/>
  <c r="D153" i="3"/>
  <c r="D149" i="3"/>
  <c r="D111" i="3"/>
  <c r="D54" i="3"/>
  <c r="D40" i="3"/>
  <c r="D21" i="3"/>
  <c r="D214" i="3"/>
  <c r="D209" i="3"/>
  <c r="D199" i="3"/>
  <c r="D194" i="3"/>
  <c r="D34" i="3"/>
  <c r="D357" i="3"/>
  <c r="D277" i="3"/>
  <c r="D176" i="3"/>
  <c r="D167" i="3"/>
  <c r="D160" i="3"/>
  <c r="D152" i="3"/>
  <c r="D35" i="3"/>
  <c r="D287" i="3"/>
  <c r="D220" i="3"/>
  <c r="D213" i="3"/>
  <c r="D208" i="3"/>
  <c r="D198" i="3"/>
  <c r="D192" i="3"/>
  <c r="D377" i="3"/>
  <c r="D51" i="3"/>
  <c r="D372" i="3"/>
  <c r="D254" i="3"/>
  <c r="D182" i="3"/>
  <c r="D169" i="3"/>
  <c r="D163" i="3"/>
  <c r="D156" i="3"/>
  <c r="D148" i="3"/>
  <c r="D52" i="3"/>
  <c r="D24" i="3"/>
  <c r="D72" i="3"/>
  <c r="D60" i="3"/>
  <c r="D43" i="3"/>
  <c r="D29" i="3"/>
  <c r="D353" i="3"/>
  <c r="D255" i="3"/>
  <c r="D175" i="3"/>
  <c r="D166" i="3"/>
  <c r="D159" i="3"/>
  <c r="D155" i="3"/>
  <c r="D151" i="3"/>
  <c r="D147" i="3"/>
  <c r="D76" i="3"/>
  <c r="D47" i="3"/>
  <c r="D33" i="3"/>
  <c r="D23" i="3"/>
  <c r="D345" i="3"/>
  <c r="D321" i="3"/>
  <c r="D310" i="3"/>
  <c r="D216" i="3"/>
  <c r="D204" i="3"/>
  <c r="D191" i="3"/>
  <c r="D373" i="3"/>
  <c r="D181" i="3"/>
  <c r="D165" i="3"/>
  <c r="D158" i="3"/>
  <c r="D150" i="3"/>
  <c r="D56" i="3"/>
  <c r="D42" i="3"/>
  <c r="D22" i="3"/>
  <c r="D238" i="3"/>
  <c r="D215" i="3"/>
  <c r="D203" i="3"/>
  <c r="D187" i="3"/>
</calcChain>
</file>

<file path=xl/sharedStrings.xml><?xml version="1.0" encoding="utf-8"?>
<sst xmlns="http://schemas.openxmlformats.org/spreadsheetml/2006/main" count="4538" uniqueCount="1107">
  <si>
    <t>بوقطاية عزالدين</t>
  </si>
  <si>
    <t>مدلل طارق</t>
  </si>
  <si>
    <t>مسعي محمد البشير</t>
  </si>
  <si>
    <t>بوقطاية محمد انور</t>
  </si>
  <si>
    <t>دهيمي عمار</t>
  </si>
  <si>
    <t>احميد راتب</t>
  </si>
  <si>
    <t>شبرو عبد الرحمن</t>
  </si>
  <si>
    <t>خليل عبد الحميد</t>
  </si>
  <si>
    <t>العقوبي رمزي</t>
  </si>
  <si>
    <t>قابوسة علي</t>
  </si>
  <si>
    <t>حابي اميرة</t>
  </si>
  <si>
    <t>حماني محمد العروسي</t>
  </si>
  <si>
    <t>دهيمي مختار</t>
  </si>
  <si>
    <t>دبار لخضر</t>
  </si>
  <si>
    <t>دهيمي عبد الحافظ</t>
  </si>
  <si>
    <t>زربيط محمد الطاهر</t>
  </si>
  <si>
    <t>بوته سندس</t>
  </si>
  <si>
    <t xml:space="preserve">زان دلال </t>
  </si>
  <si>
    <t>زواري احمد مريم</t>
  </si>
  <si>
    <t>موساوي جهاد</t>
  </si>
  <si>
    <t>قدوري مباركة</t>
  </si>
  <si>
    <t>عروة فتيحة</t>
  </si>
  <si>
    <t>تجاني محمد الطاهر</t>
  </si>
  <si>
    <t>سعيد سعد</t>
  </si>
  <si>
    <t>شيخة مبروك اخميستي</t>
  </si>
  <si>
    <t>لبيهي ساعد</t>
  </si>
  <si>
    <t>احميد نعيم</t>
  </si>
  <si>
    <t>تجيني عنتر</t>
  </si>
  <si>
    <t>حبيب الزهرة</t>
  </si>
  <si>
    <t>مسعي محمد ابراهيم</t>
  </si>
  <si>
    <t>مسعي محمد علي 2</t>
  </si>
  <si>
    <t>شريفي حسن</t>
  </si>
  <si>
    <t>عسيلة ابراهيم</t>
  </si>
  <si>
    <t>تريكي مسعود</t>
  </si>
  <si>
    <t>ممادي بشير</t>
  </si>
  <si>
    <t>سبوعي علي شوقي</t>
  </si>
  <si>
    <t>زناش لونيس</t>
  </si>
  <si>
    <t>بن قانة محمد</t>
  </si>
  <si>
    <t>بن عبد الله عيسى</t>
  </si>
  <si>
    <t>الميكانيك</t>
  </si>
  <si>
    <t>دبش عمار</t>
  </si>
  <si>
    <t>خلوط طارق</t>
  </si>
  <si>
    <t>المخزن 2</t>
  </si>
  <si>
    <t xml:space="preserve">جاب الله العربي </t>
  </si>
  <si>
    <t>عياشي محمد</t>
  </si>
  <si>
    <t>طواهرية الياس</t>
  </si>
  <si>
    <t>بشيري علي</t>
  </si>
  <si>
    <t>جاب الله الحاج علي</t>
  </si>
  <si>
    <t>عاد أحمد</t>
  </si>
  <si>
    <t>طنش الطاهر</t>
  </si>
  <si>
    <t>سعيد محمد العربي</t>
  </si>
  <si>
    <t>بوترعة أحمد</t>
  </si>
  <si>
    <t>ياحي السعيد</t>
  </si>
  <si>
    <t>حمصي مسعود</t>
  </si>
  <si>
    <t>حمصي هشام</t>
  </si>
  <si>
    <t>حمدي ايمن</t>
  </si>
  <si>
    <t>قديري عبد الرحمن</t>
  </si>
  <si>
    <t>بهى محسن</t>
  </si>
  <si>
    <t>حمتين السعيد</t>
  </si>
  <si>
    <t>دودو نبيل</t>
  </si>
  <si>
    <t>عطية صالح</t>
  </si>
  <si>
    <t>مهيش ميلود</t>
  </si>
  <si>
    <t>تلحيق السعيد</t>
  </si>
  <si>
    <t>يومبعي وائل</t>
  </si>
  <si>
    <t>تجاني البشير</t>
  </si>
  <si>
    <t>يومبعي محمد العيد</t>
  </si>
  <si>
    <t>تجاني محمد الهادي</t>
  </si>
  <si>
    <t>تجاني محمد البشير</t>
  </si>
  <si>
    <t>التركيب 01</t>
  </si>
  <si>
    <t>شيخة يمينة</t>
  </si>
  <si>
    <t>مدخل هدى</t>
  </si>
  <si>
    <t>كبسة عائشة</t>
  </si>
  <si>
    <t>مدخل نعيمة</t>
  </si>
  <si>
    <t>موم مسعودة</t>
  </si>
  <si>
    <t>موم حليمة</t>
  </si>
  <si>
    <t>وصيف تواتي وجدان</t>
  </si>
  <si>
    <t>مداوي ابتسام</t>
  </si>
  <si>
    <t xml:space="preserve">بيكي وردة </t>
  </si>
  <si>
    <t>عبيدي سعد نصيرة</t>
  </si>
  <si>
    <t>بلال عائشة</t>
  </si>
  <si>
    <t>مداوي جمعة</t>
  </si>
  <si>
    <t>ربوح سامية</t>
  </si>
  <si>
    <t>عطر آمنة</t>
  </si>
  <si>
    <t>حتيري سليمة</t>
  </si>
  <si>
    <t>زيدي رشيد</t>
  </si>
  <si>
    <t>طالبي محمد الصادق</t>
  </si>
  <si>
    <t xml:space="preserve">عيساوي أحمد البخاري </t>
  </si>
  <si>
    <t>واده ربح</t>
  </si>
  <si>
    <t>عروة سمراء</t>
  </si>
  <si>
    <t>رقيق ايناس</t>
  </si>
  <si>
    <t>واده مريم</t>
  </si>
  <si>
    <t>جرو الزهرة</t>
  </si>
  <si>
    <t>سمينة جمعة</t>
  </si>
  <si>
    <t>سمينة حنان</t>
  </si>
  <si>
    <t>بوغزالة محمد كريمة</t>
  </si>
  <si>
    <t>زين صلاح الدين</t>
  </si>
  <si>
    <t>طريلي خولة</t>
  </si>
  <si>
    <t>بن عمارة خيرة</t>
  </si>
  <si>
    <t>كنيوة مريم</t>
  </si>
  <si>
    <t>قرح تركية</t>
  </si>
  <si>
    <t>عقيب الزهرة</t>
  </si>
  <si>
    <t>السلك</t>
  </si>
  <si>
    <t>بن عبد الله المولدي</t>
  </si>
  <si>
    <t>بالهادف ع الرحمن</t>
  </si>
  <si>
    <t>شوية حمد</t>
  </si>
  <si>
    <t>بكوش ساعد</t>
  </si>
  <si>
    <t>حريز بكار المهدي</t>
  </si>
  <si>
    <t>فاضل عبد الحميد</t>
  </si>
  <si>
    <t>ديدة رمزي</t>
  </si>
  <si>
    <t>طواهرية علي</t>
  </si>
  <si>
    <t>فرحات عبد الجبار</t>
  </si>
  <si>
    <t>بهى خليفة</t>
  </si>
  <si>
    <t xml:space="preserve">قرفي إسحاق </t>
  </si>
  <si>
    <t>عمامرة عبد السلام</t>
  </si>
  <si>
    <t>مشري خالد</t>
  </si>
  <si>
    <t>شيحاني احمد الامين</t>
  </si>
  <si>
    <t>قماري مازن حسنين</t>
  </si>
  <si>
    <t>رداد المهدي</t>
  </si>
  <si>
    <t>بن غالي العربي</t>
  </si>
  <si>
    <t>فايزي المولدي</t>
  </si>
  <si>
    <t>سعيد صالح</t>
  </si>
  <si>
    <t>دوة محمد الحبيب</t>
  </si>
  <si>
    <t>التجاني محمد الصادق</t>
  </si>
  <si>
    <t>بيكي هيثم</t>
  </si>
  <si>
    <t>حشيفة فتحي</t>
  </si>
  <si>
    <t>بن يامة عبد العزيز</t>
  </si>
  <si>
    <t>عاشور الحاج سعد</t>
  </si>
  <si>
    <t>ص, كهرباء</t>
  </si>
  <si>
    <t>طويل عبد الغني</t>
  </si>
  <si>
    <t>حنكة علي</t>
  </si>
  <si>
    <t>ميهوب يوسف</t>
  </si>
  <si>
    <t>التلحيم</t>
  </si>
  <si>
    <t>مذكور عبد المجيد</t>
  </si>
  <si>
    <t>فايزي فؤاد</t>
  </si>
  <si>
    <t>العايش احمد الثاني</t>
  </si>
  <si>
    <t>دودو نور الدين</t>
  </si>
  <si>
    <t>حمو العيد</t>
  </si>
  <si>
    <t>بن عمار احمد</t>
  </si>
  <si>
    <t>الخراطة</t>
  </si>
  <si>
    <t xml:space="preserve">قبنة عبد الرحمان </t>
  </si>
  <si>
    <t>سلمان لمين</t>
  </si>
  <si>
    <t>حمدي البشير</t>
  </si>
  <si>
    <t>دشري الحاج علي</t>
  </si>
  <si>
    <t>بن بداري عبد الفتاح</t>
  </si>
  <si>
    <t>حميد الوليد</t>
  </si>
  <si>
    <t>شمسة محمد</t>
  </si>
  <si>
    <t>خناب محمد الصالح</t>
  </si>
  <si>
    <t>زروق عبد الرزاق</t>
  </si>
  <si>
    <t>ع.مهني</t>
  </si>
  <si>
    <t>عتيق محمد</t>
  </si>
  <si>
    <t>الصيانة</t>
  </si>
  <si>
    <t>زغيب توفيق</t>
  </si>
  <si>
    <t>محبوبي ع العزيز</t>
  </si>
  <si>
    <t xml:space="preserve">شرفي عبد النور </t>
  </si>
  <si>
    <t>طنش السعيد</t>
  </si>
  <si>
    <t>الشبكة</t>
  </si>
  <si>
    <t xml:space="preserve">غريسي أيوب </t>
  </si>
  <si>
    <t>مناعي التجاني</t>
  </si>
  <si>
    <t>مومن مسعود البشير</t>
  </si>
  <si>
    <t>حومدي الياس</t>
  </si>
  <si>
    <t xml:space="preserve">هنيات المولدي </t>
  </si>
  <si>
    <t>غريسي زكرياء</t>
  </si>
  <si>
    <t>عطالله رياض</t>
  </si>
  <si>
    <t>مسعودي جمال</t>
  </si>
  <si>
    <t>بلخضر ساعد</t>
  </si>
  <si>
    <t>طالبي يوسف</t>
  </si>
  <si>
    <t>بوضياف بوضياف</t>
  </si>
  <si>
    <t>سلطانه عبد المجيد</t>
  </si>
  <si>
    <t>بيكي محمد رضا</t>
  </si>
  <si>
    <t>الدهن</t>
  </si>
  <si>
    <t>صبتي محمود التجاني</t>
  </si>
  <si>
    <t>معوش الصادق</t>
  </si>
  <si>
    <t>تجيني نور الدين</t>
  </si>
  <si>
    <t>احميد احمد التجاني</t>
  </si>
  <si>
    <t>زغدي محمد الصالح</t>
  </si>
  <si>
    <t>عامر عبد المنعم</t>
  </si>
  <si>
    <t>بن بردي مسعود</t>
  </si>
  <si>
    <t>بن عمر عماد الدين</t>
  </si>
  <si>
    <t>غدير عمر امجد</t>
  </si>
  <si>
    <t>عباسي عمر</t>
  </si>
  <si>
    <t>الزنقاج</t>
  </si>
  <si>
    <t xml:space="preserve">عطية سعد </t>
  </si>
  <si>
    <t>جرادي حمزة</t>
  </si>
  <si>
    <t>لعوج حسن</t>
  </si>
  <si>
    <t>حبيب بلقاسم</t>
  </si>
  <si>
    <t>وذيني بلال</t>
  </si>
  <si>
    <t>سباق عبد القادر بوبكر</t>
  </si>
  <si>
    <t>غنابزية عبد الكامل</t>
  </si>
  <si>
    <t>هيمة ابراهيم</t>
  </si>
  <si>
    <t>بركة مسعود</t>
  </si>
  <si>
    <t>سوفلي عبد الوهاب</t>
  </si>
  <si>
    <t>سالم عبد السلام</t>
  </si>
  <si>
    <t>الكاليبراج</t>
  </si>
  <si>
    <t>شريف أحمد</t>
  </si>
  <si>
    <t>بن علية شكري</t>
  </si>
  <si>
    <t xml:space="preserve">تليلي الهادي </t>
  </si>
  <si>
    <t>فارس مراد</t>
  </si>
  <si>
    <t xml:space="preserve">غريسي معتز </t>
  </si>
  <si>
    <t xml:space="preserve">بن الشهبة ع العزيز </t>
  </si>
  <si>
    <t>سلك زنقاج</t>
  </si>
  <si>
    <t xml:space="preserve">جلاب السعيد </t>
  </si>
  <si>
    <t>سوداني جمال</t>
  </si>
  <si>
    <t>تجاني أيوب</t>
  </si>
  <si>
    <t>يحياوي ياسين</t>
  </si>
  <si>
    <t>مداوي يوسف</t>
  </si>
  <si>
    <t>تجيني الحسين</t>
  </si>
  <si>
    <t>غدير عمر عبد الغني</t>
  </si>
  <si>
    <t>طنش عبد المالك</t>
  </si>
  <si>
    <t>الصامولة</t>
  </si>
  <si>
    <t>بن حوة عبد القادر</t>
  </si>
  <si>
    <t>بن يامة ابراهيم</t>
  </si>
  <si>
    <t>زغدي كمال</t>
  </si>
  <si>
    <t>بلقاضي لمنور</t>
  </si>
  <si>
    <t>دحمري فوزي</t>
  </si>
  <si>
    <t>عية مراد</t>
  </si>
  <si>
    <t>غريسي خليفة</t>
  </si>
  <si>
    <t>التيج فلتي</t>
  </si>
  <si>
    <t>صوالح احميمة سعد</t>
  </si>
  <si>
    <t>مسعي محمد السعيد</t>
  </si>
  <si>
    <t>حقيق لطفي</t>
  </si>
  <si>
    <t>غنبازي مبروك</t>
  </si>
  <si>
    <t>براهمي عمار</t>
  </si>
  <si>
    <t>بله عماد الدين</t>
  </si>
  <si>
    <t>عباسي السعيد</t>
  </si>
  <si>
    <t>السلسلة</t>
  </si>
  <si>
    <t xml:space="preserve">غريسي ع الله </t>
  </si>
  <si>
    <t>سويسي أحمد</t>
  </si>
  <si>
    <t>مراد عبد القادر</t>
  </si>
  <si>
    <t>نصبة ابراهيم</t>
  </si>
  <si>
    <t>سلمي احمد</t>
  </si>
  <si>
    <t>بوقطاية محمد السعيد</t>
  </si>
  <si>
    <t>بك اسامة</t>
  </si>
  <si>
    <t>البراغي</t>
  </si>
  <si>
    <t>ممادي العيد</t>
  </si>
  <si>
    <t>عيساوي حمزة</t>
  </si>
  <si>
    <t xml:space="preserve">قدور عبد الباسط </t>
  </si>
  <si>
    <t>حشيفة محمد</t>
  </si>
  <si>
    <t>عتير سعيد</t>
  </si>
  <si>
    <t>ميموني حسين</t>
  </si>
  <si>
    <t>مناني حمزة</t>
  </si>
  <si>
    <t>العاتي بن سالم</t>
  </si>
  <si>
    <t>حبيب عبد الرزاق</t>
  </si>
  <si>
    <t>حمدي إلياس</t>
  </si>
  <si>
    <t>مكاوي نور الدين</t>
  </si>
  <si>
    <t>مكاوي احمد شوقي</t>
  </si>
  <si>
    <t>قدور فظيل</t>
  </si>
  <si>
    <t>عبيد بوبكر</t>
  </si>
  <si>
    <t>فاضل صدام</t>
  </si>
  <si>
    <t xml:space="preserve">فاضل بلقاسم </t>
  </si>
  <si>
    <t>منيعي عبد الباسط</t>
  </si>
  <si>
    <t>مشري عماد الدين</t>
  </si>
  <si>
    <t>نيس ميلود</t>
  </si>
  <si>
    <t>بوذينة عماد الدين</t>
  </si>
  <si>
    <t>زريق محمد</t>
  </si>
  <si>
    <t>رزوق محمد</t>
  </si>
  <si>
    <t>فيس ال</t>
  </si>
  <si>
    <t>هقي العروسي</t>
  </si>
  <si>
    <t>الرونديل</t>
  </si>
  <si>
    <t>عياشي عمر عبد الفتاح</t>
  </si>
  <si>
    <t>منصر أنور</t>
  </si>
  <si>
    <t>قديري حمزة</t>
  </si>
  <si>
    <t>الفيلتاج</t>
  </si>
  <si>
    <t>بن سعدية سعد</t>
  </si>
  <si>
    <t>لموشي يوسف</t>
  </si>
  <si>
    <t>سعداني احمد</t>
  </si>
  <si>
    <t>بالي عبد الرزاق</t>
  </si>
  <si>
    <t>جراية رزقي</t>
  </si>
  <si>
    <t>زبيدي علي</t>
  </si>
  <si>
    <t>غربي جمال</t>
  </si>
  <si>
    <t>نصري زيد</t>
  </si>
  <si>
    <t>بن أحمد عمر</t>
  </si>
  <si>
    <t>برتيمة عبد الكريم</t>
  </si>
  <si>
    <t>السكوتش</t>
  </si>
  <si>
    <t>وقادي السعيد</t>
  </si>
  <si>
    <t>كشحة عبد الفتاح</t>
  </si>
  <si>
    <t>الرفش</t>
  </si>
  <si>
    <t>سالم الياس</t>
  </si>
  <si>
    <t>شلبي يوسف</t>
  </si>
  <si>
    <t>العابد عبد الوهاب</t>
  </si>
  <si>
    <t>فرحات ربيع</t>
  </si>
  <si>
    <t>نسيب عرفات</t>
  </si>
  <si>
    <t>ديدة وليد</t>
  </si>
  <si>
    <t>دية بوبكر</t>
  </si>
  <si>
    <t>محبوب مصباح وليد</t>
  </si>
  <si>
    <t>بوضياف صبري</t>
  </si>
  <si>
    <t>مزيو محمد</t>
  </si>
  <si>
    <t>دوش عبد القادر</t>
  </si>
  <si>
    <t>رحال عبد الباقي</t>
  </si>
  <si>
    <t>درويش عبد الله</t>
  </si>
  <si>
    <t>شيحاني عبد الوهاب</t>
  </si>
  <si>
    <t>تجاني نبيل</t>
  </si>
  <si>
    <t xml:space="preserve"> بن عيشة محمد</t>
  </si>
  <si>
    <t>طواهر محمود</t>
  </si>
  <si>
    <t>دشري عبد الجبار</t>
  </si>
  <si>
    <t>فليون عبد القادر</t>
  </si>
  <si>
    <t>ساحة العربي</t>
  </si>
  <si>
    <t>احويج فارس</t>
  </si>
  <si>
    <t>مسعي أحمد البشير</t>
  </si>
  <si>
    <t>ديدة الطاهر</t>
  </si>
  <si>
    <t>نويوات شويطر سفيان</t>
  </si>
  <si>
    <t xml:space="preserve">بزايدية أمير </t>
  </si>
  <si>
    <t>ربيعي محمد</t>
  </si>
  <si>
    <t>عبد القوي عمار</t>
  </si>
  <si>
    <t>ربيعي سالم</t>
  </si>
  <si>
    <t>سقني عقبة</t>
  </si>
  <si>
    <t>لشهب بوبكر</t>
  </si>
  <si>
    <t>بن احمد يونس</t>
  </si>
  <si>
    <t xml:space="preserve">عبيدي أسامة </t>
  </si>
  <si>
    <t>عتيق نصر سليم</t>
  </si>
  <si>
    <t>عتيق العربي يوسف</t>
  </si>
  <si>
    <t>ربوح ميلود</t>
  </si>
  <si>
    <t>تليلي الطاهر 02</t>
  </si>
  <si>
    <t>عبابة هاشم</t>
  </si>
  <si>
    <t>كوت نور الدين</t>
  </si>
  <si>
    <t>كشحة عادل</t>
  </si>
  <si>
    <t>يومبعي محمد</t>
  </si>
  <si>
    <t>بهى ميلود</t>
  </si>
  <si>
    <t>حمادي الحبيب</t>
  </si>
  <si>
    <t>جاب الله عبد السلام</t>
  </si>
  <si>
    <t>ساحة علي</t>
  </si>
  <si>
    <t>ممادي محمد الحبيب</t>
  </si>
  <si>
    <t>حميد حمزة</t>
  </si>
  <si>
    <t>زبيدي جعفر</t>
  </si>
  <si>
    <t>مساعيد محمد الحبيب</t>
  </si>
  <si>
    <t>عامر جلال</t>
  </si>
  <si>
    <t>01</t>
  </si>
  <si>
    <t>02</t>
  </si>
  <si>
    <t>04</t>
  </si>
  <si>
    <t>06</t>
  </si>
  <si>
    <t>10</t>
  </si>
  <si>
    <t>11</t>
  </si>
  <si>
    <t>12</t>
  </si>
  <si>
    <t>13</t>
  </si>
  <si>
    <t>15</t>
  </si>
  <si>
    <t>109</t>
  </si>
  <si>
    <t>37</t>
  </si>
  <si>
    <t>319</t>
  </si>
  <si>
    <t>368</t>
  </si>
  <si>
    <t>380</t>
  </si>
  <si>
    <t>55</t>
  </si>
  <si>
    <t>94</t>
  </si>
  <si>
    <t>266</t>
  </si>
  <si>
    <t>270</t>
  </si>
  <si>
    <t>286</t>
  </si>
  <si>
    <t>300</t>
  </si>
  <si>
    <t>38</t>
  </si>
  <si>
    <t>68</t>
  </si>
  <si>
    <t>69</t>
  </si>
  <si>
    <t>167</t>
  </si>
  <si>
    <t>43</t>
  </si>
  <si>
    <t>59</t>
  </si>
  <si>
    <t>82</t>
  </si>
  <si>
    <t>115</t>
  </si>
  <si>
    <t>197</t>
  </si>
  <si>
    <t>212</t>
  </si>
  <si>
    <t>430</t>
  </si>
  <si>
    <t>47</t>
  </si>
  <si>
    <t>63</t>
  </si>
  <si>
    <t>70</t>
  </si>
  <si>
    <t>244</t>
  </si>
  <si>
    <t>283</t>
  </si>
  <si>
    <t>320</t>
  </si>
  <si>
    <t>218</t>
  </si>
  <si>
    <t>227</t>
  </si>
  <si>
    <t>307</t>
  </si>
  <si>
    <t>30</t>
  </si>
  <si>
    <t>48</t>
  </si>
  <si>
    <t>54</t>
  </si>
  <si>
    <t>58</t>
  </si>
  <si>
    <t>61</t>
  </si>
  <si>
    <t>76</t>
  </si>
  <si>
    <t>93</t>
  </si>
  <si>
    <t>162</t>
  </si>
  <si>
    <t>165</t>
  </si>
  <si>
    <t>166</t>
  </si>
  <si>
    <t>180</t>
  </si>
  <si>
    <t>192</t>
  </si>
  <si>
    <t>206</t>
  </si>
  <si>
    <t>211</t>
  </si>
  <si>
    <t>219</t>
  </si>
  <si>
    <t>250</t>
  </si>
  <si>
    <t>289</t>
  </si>
  <si>
    <t>329</t>
  </si>
  <si>
    <t>208</t>
  </si>
  <si>
    <t>358</t>
  </si>
  <si>
    <t>371</t>
  </si>
  <si>
    <t>388</t>
  </si>
  <si>
    <t>409</t>
  </si>
  <si>
    <t>411</t>
  </si>
  <si>
    <t>433</t>
  </si>
  <si>
    <t>440</t>
  </si>
  <si>
    <t>25</t>
  </si>
  <si>
    <t>27</t>
  </si>
  <si>
    <t>46</t>
  </si>
  <si>
    <t>64</t>
  </si>
  <si>
    <t>79</t>
  </si>
  <si>
    <t>81</t>
  </si>
  <si>
    <t>83</t>
  </si>
  <si>
    <t>110</t>
  </si>
  <si>
    <t>121</t>
  </si>
  <si>
    <t>122</t>
  </si>
  <si>
    <t>124</t>
  </si>
  <si>
    <t>126</t>
  </si>
  <si>
    <t>130</t>
  </si>
  <si>
    <t>132</t>
  </si>
  <si>
    <t>138</t>
  </si>
  <si>
    <t>169</t>
  </si>
  <si>
    <t>171</t>
  </si>
  <si>
    <t>182</t>
  </si>
  <si>
    <t>184</t>
  </si>
  <si>
    <t>188</t>
  </si>
  <si>
    <t>190</t>
  </si>
  <si>
    <t>198</t>
  </si>
  <si>
    <t>205</t>
  </si>
  <si>
    <t>213</t>
  </si>
  <si>
    <t>225</t>
  </si>
  <si>
    <t>247</t>
  </si>
  <si>
    <t>261</t>
  </si>
  <si>
    <t>308</t>
  </si>
  <si>
    <t>361</t>
  </si>
  <si>
    <t>384</t>
  </si>
  <si>
    <t>399</t>
  </si>
  <si>
    <t>403</t>
  </si>
  <si>
    <t>405</t>
  </si>
  <si>
    <t>427</t>
  </si>
  <si>
    <t>445</t>
  </si>
  <si>
    <t>32</t>
  </si>
  <si>
    <t>35</t>
  </si>
  <si>
    <t>45</t>
  </si>
  <si>
    <t>62</t>
  </si>
  <si>
    <t>73</t>
  </si>
  <si>
    <t>95</t>
  </si>
  <si>
    <t>112</t>
  </si>
  <si>
    <t>145</t>
  </si>
  <si>
    <t>151</t>
  </si>
  <si>
    <t>215</t>
  </si>
  <si>
    <t>234</t>
  </si>
  <si>
    <t>249</t>
  </si>
  <si>
    <t>254</t>
  </si>
  <si>
    <t>255</t>
  </si>
  <si>
    <t>271</t>
  </si>
  <si>
    <t>296</t>
  </si>
  <si>
    <t>336</t>
  </si>
  <si>
    <t>348</t>
  </si>
  <si>
    <t>365</t>
  </si>
  <si>
    <t>375</t>
  </si>
  <si>
    <t>376</t>
  </si>
  <si>
    <t>378</t>
  </si>
  <si>
    <t>381</t>
  </si>
  <si>
    <t>413</t>
  </si>
  <si>
    <t>425</t>
  </si>
  <si>
    <t>49</t>
  </si>
  <si>
    <t>295</t>
  </si>
  <si>
    <t>178</t>
  </si>
  <si>
    <t>431</t>
  </si>
  <si>
    <t>436</t>
  </si>
  <si>
    <t>450</t>
  </si>
  <si>
    <t>34</t>
  </si>
  <si>
    <t>147</t>
  </si>
  <si>
    <t>389</t>
  </si>
  <si>
    <t>172</t>
  </si>
  <si>
    <t>195</t>
  </si>
  <si>
    <t>372</t>
  </si>
  <si>
    <t>267</t>
  </si>
  <si>
    <t>310</t>
  </si>
  <si>
    <t>135</t>
  </si>
  <si>
    <t>164</t>
  </si>
  <si>
    <t>217</t>
  </si>
  <si>
    <t>245</t>
  </si>
  <si>
    <t>75</t>
  </si>
  <si>
    <t>104</t>
  </si>
  <si>
    <t>118</t>
  </si>
  <si>
    <t>137</t>
  </si>
  <si>
    <t>357</t>
  </si>
  <si>
    <t>44</t>
  </si>
  <si>
    <t>78</t>
  </si>
  <si>
    <t>113</t>
  </si>
  <si>
    <t>128</t>
  </si>
  <si>
    <t>183</t>
  </si>
  <si>
    <t>248</t>
  </si>
  <si>
    <t>298</t>
  </si>
  <si>
    <t>305</t>
  </si>
  <si>
    <t>306</t>
  </si>
  <si>
    <t>324</t>
  </si>
  <si>
    <t>341</t>
  </si>
  <si>
    <t>468</t>
  </si>
  <si>
    <t>469</t>
  </si>
  <si>
    <t>21</t>
  </si>
  <si>
    <t>39</t>
  </si>
  <si>
    <t>40</t>
  </si>
  <si>
    <t>107</t>
  </si>
  <si>
    <t>216</t>
  </si>
  <si>
    <t>236</t>
  </si>
  <si>
    <t>242</t>
  </si>
  <si>
    <t>251</t>
  </si>
  <si>
    <t>269</t>
  </si>
  <si>
    <t>394</t>
  </si>
  <si>
    <t>60</t>
  </si>
  <si>
    <t>199</t>
  </si>
  <si>
    <t>214</t>
  </si>
  <si>
    <t>221</t>
  </si>
  <si>
    <t>230</t>
  </si>
  <si>
    <t>232</t>
  </si>
  <si>
    <t>237</t>
  </si>
  <si>
    <t>243</t>
  </si>
  <si>
    <t>302</t>
  </si>
  <si>
    <t>314</t>
  </si>
  <si>
    <t>345</t>
  </si>
  <si>
    <t>356</t>
  </si>
  <si>
    <t>404</t>
  </si>
  <si>
    <t>36</t>
  </si>
  <si>
    <t>133</t>
  </si>
  <si>
    <t>134</t>
  </si>
  <si>
    <t>224</t>
  </si>
  <si>
    <t>274</t>
  </si>
  <si>
    <t>275</t>
  </si>
  <si>
    <t>41</t>
  </si>
  <si>
    <t>96</t>
  </si>
  <si>
    <t>284</t>
  </si>
  <si>
    <t>299</t>
  </si>
  <si>
    <t>333</t>
  </si>
  <si>
    <t>352</t>
  </si>
  <si>
    <t>374</t>
  </si>
  <si>
    <t>417</t>
  </si>
  <si>
    <t>26</t>
  </si>
  <si>
    <t>72</t>
  </si>
  <si>
    <t>98</t>
  </si>
  <si>
    <t>279</t>
  </si>
  <si>
    <t>288</t>
  </si>
  <si>
    <t>321</t>
  </si>
  <si>
    <t>412</t>
  </si>
  <si>
    <t>422</t>
  </si>
  <si>
    <t>144</t>
  </si>
  <si>
    <t>201</t>
  </si>
  <si>
    <t>265</t>
  </si>
  <si>
    <t>322</t>
  </si>
  <si>
    <t>353</t>
  </si>
  <si>
    <t>402</t>
  </si>
  <si>
    <t>415</t>
  </si>
  <si>
    <t>92</t>
  </si>
  <si>
    <t>99</t>
  </si>
  <si>
    <t>148</t>
  </si>
  <si>
    <t>210</t>
  </si>
  <si>
    <t>229</t>
  </si>
  <si>
    <t>318</t>
  </si>
  <si>
    <t>396</t>
  </si>
  <si>
    <t>51</t>
  </si>
  <si>
    <t>52</t>
  </si>
  <si>
    <t>67</t>
  </si>
  <si>
    <t>74</t>
  </si>
  <si>
    <t>86</t>
  </si>
  <si>
    <t>108</t>
  </si>
  <si>
    <t>117</t>
  </si>
  <si>
    <t>119</t>
  </si>
  <si>
    <t>139</t>
  </si>
  <si>
    <t>163</t>
  </si>
  <si>
    <t>168</t>
  </si>
  <si>
    <t>170</t>
  </si>
  <si>
    <t>200</t>
  </si>
  <si>
    <t>220</t>
  </si>
  <si>
    <t>253</t>
  </si>
  <si>
    <t>273</t>
  </si>
  <si>
    <t>281</t>
  </si>
  <si>
    <t>326</t>
  </si>
  <si>
    <t>331</t>
  </si>
  <si>
    <t>366</t>
  </si>
  <si>
    <t>421</t>
  </si>
  <si>
    <t>434</t>
  </si>
  <si>
    <t>24</t>
  </si>
  <si>
    <t>156</t>
  </si>
  <si>
    <t>194</t>
  </si>
  <si>
    <t>315</t>
  </si>
  <si>
    <t>20</t>
  </si>
  <si>
    <t>31</t>
  </si>
  <si>
    <t>65</t>
  </si>
  <si>
    <t>87</t>
  </si>
  <si>
    <t>97</t>
  </si>
  <si>
    <t>100</t>
  </si>
  <si>
    <t>101</t>
  </si>
  <si>
    <t>103</t>
  </si>
  <si>
    <t>152</t>
  </si>
  <si>
    <t>290</t>
  </si>
  <si>
    <t>91</t>
  </si>
  <si>
    <t>129</t>
  </si>
  <si>
    <t>28</t>
  </si>
  <si>
    <t>57</t>
  </si>
  <si>
    <t>88</t>
  </si>
  <si>
    <t>154</t>
  </si>
  <si>
    <t>186</t>
  </si>
  <si>
    <t>202</t>
  </si>
  <si>
    <t>278</t>
  </si>
  <si>
    <t>292</t>
  </si>
  <si>
    <t>330</t>
  </si>
  <si>
    <t>334</t>
  </si>
  <si>
    <t>339</t>
  </si>
  <si>
    <t>340</t>
  </si>
  <si>
    <t>344</t>
  </si>
  <si>
    <t>351</t>
  </si>
  <si>
    <t>379</t>
  </si>
  <si>
    <t>66</t>
  </si>
  <si>
    <t>142</t>
  </si>
  <si>
    <t>203</t>
  </si>
  <si>
    <t>287</t>
  </si>
  <si>
    <t>53</t>
  </si>
  <si>
    <t>125</t>
  </si>
  <si>
    <t>204</t>
  </si>
  <si>
    <t>207</t>
  </si>
  <si>
    <t>359</t>
  </si>
  <si>
    <t>401</t>
  </si>
  <si>
    <t>22</t>
  </si>
  <si>
    <t>105</t>
  </si>
  <si>
    <t>158</t>
  </si>
  <si>
    <t>179</t>
  </si>
  <si>
    <t>191</t>
  </si>
  <si>
    <t>222</t>
  </si>
  <si>
    <t>258</t>
  </si>
  <si>
    <t>263</t>
  </si>
  <si>
    <t>143</t>
  </si>
  <si>
    <t>71</t>
  </si>
  <si>
    <t>262</t>
  </si>
  <si>
    <t>276</t>
  </si>
  <si>
    <t>387</t>
  </si>
  <si>
    <t>297</t>
  </si>
  <si>
    <t>309</t>
  </si>
  <si>
    <t>337</t>
  </si>
  <si>
    <t>369</t>
  </si>
  <si>
    <t>311</t>
  </si>
  <si>
    <t>313</t>
  </si>
  <si>
    <t>349</t>
  </si>
  <si>
    <t>382</t>
  </si>
  <si>
    <t>18</t>
  </si>
  <si>
    <t>159</t>
  </si>
  <si>
    <t>239</t>
  </si>
  <si>
    <t>246</t>
  </si>
  <si>
    <t>325</t>
  </si>
  <si>
    <t>397</t>
  </si>
  <si>
    <t>185</t>
  </si>
  <si>
    <t>منير عبد الكريم</t>
  </si>
  <si>
    <t>470</t>
  </si>
  <si>
    <t>472</t>
  </si>
  <si>
    <t>473</t>
  </si>
  <si>
    <t>رحالي السبتي</t>
  </si>
  <si>
    <t>474</t>
  </si>
  <si>
    <t>475</t>
  </si>
  <si>
    <t>7</t>
  </si>
  <si>
    <t>8</t>
  </si>
  <si>
    <t>454</t>
  </si>
  <si>
    <t>471</t>
  </si>
  <si>
    <t>بن حوة اسماعيل</t>
  </si>
  <si>
    <t>زويزيه مبروك</t>
  </si>
  <si>
    <t>رحال عثمان</t>
  </si>
  <si>
    <t>علاق محمد العربي</t>
  </si>
  <si>
    <t>قوبعه محمد</t>
  </si>
  <si>
    <t>ثامر اذرير</t>
  </si>
  <si>
    <t>بن عبد الله أيمن</t>
  </si>
  <si>
    <t>328</t>
  </si>
  <si>
    <t>غانم نبيل</t>
  </si>
  <si>
    <t>غالية الياس</t>
  </si>
  <si>
    <t>قرميط ع الرؤوف</t>
  </si>
  <si>
    <t>تامة احمد البشير</t>
  </si>
  <si>
    <t>بن عون أسامة</t>
  </si>
  <si>
    <t>209</t>
  </si>
  <si>
    <t>سلامة احمد بشير</t>
  </si>
  <si>
    <t>223</t>
  </si>
  <si>
    <t>وقت</t>
  </si>
  <si>
    <t>الاسم الأول</t>
  </si>
  <si>
    <t>عدد الموظفين</t>
  </si>
  <si>
    <t>اسم الأخير</t>
  </si>
  <si>
    <t>الكرطون</t>
  </si>
  <si>
    <t>بزايدية امير</t>
  </si>
  <si>
    <t>حماني العروسي</t>
  </si>
  <si>
    <t>المخزن</t>
  </si>
  <si>
    <t>الادارة</t>
  </si>
  <si>
    <t>بيكي وردة</t>
  </si>
  <si>
    <t>التركيب</t>
  </si>
  <si>
    <t>تليلي الهادي</t>
  </si>
  <si>
    <t>شرفي عبد النور</t>
  </si>
  <si>
    <t>البلاستيك</t>
  </si>
  <si>
    <t>حمدي الياس</t>
  </si>
  <si>
    <t>عيساوي احمد البخاري</t>
  </si>
  <si>
    <t>هنيات المولدي</t>
  </si>
  <si>
    <t>منصر انور</t>
  </si>
  <si>
    <t>قرفي اسحاق</t>
  </si>
  <si>
    <t>فاضل بلقاسم</t>
  </si>
  <si>
    <t>بن الشهبة عبد العزيز</t>
  </si>
  <si>
    <t>تليلي الطاهر 2</t>
  </si>
  <si>
    <t>جاب الله العربي</t>
  </si>
  <si>
    <t>المراقبة</t>
  </si>
  <si>
    <t>بلهادف عبد الرحمن</t>
  </si>
  <si>
    <t>تجيني حسين</t>
  </si>
  <si>
    <t>شريف احمد</t>
  </si>
  <si>
    <t>تجاني محمد الصادق</t>
  </si>
  <si>
    <t>رزيق محمد</t>
  </si>
  <si>
    <t>سلطانة عبد المجيد</t>
  </si>
  <si>
    <t>علاق العربي</t>
  </si>
  <si>
    <t>قدور عبد الباسط</t>
  </si>
  <si>
    <t>عتير السعيد</t>
  </si>
  <si>
    <t>زان دلال</t>
  </si>
  <si>
    <t>بن حوى اسماعيل</t>
  </si>
  <si>
    <t>سويسي احمد</t>
  </si>
  <si>
    <t>محبوبي عبد العزيز</t>
  </si>
  <si>
    <t>شيخة مبروك خميس</t>
  </si>
  <si>
    <t>المخبر</t>
  </si>
  <si>
    <t>بن عبدالله حمزة</t>
  </si>
  <si>
    <t>بن عبدالله حمزه</t>
  </si>
  <si>
    <t>حوري صالح</t>
  </si>
  <si>
    <t>زاير البشير</t>
  </si>
  <si>
    <t>EX</t>
  </si>
  <si>
    <t>المبلغ 1</t>
  </si>
  <si>
    <t>المبلغ 2</t>
  </si>
  <si>
    <t>التوقيع</t>
  </si>
  <si>
    <t>الرقم</t>
  </si>
  <si>
    <t>الاسم واللقب</t>
  </si>
  <si>
    <t>ع,مراقبة</t>
  </si>
  <si>
    <t>التصميم</t>
  </si>
  <si>
    <t>المخزن الرئيسي</t>
  </si>
  <si>
    <t>الحراس</t>
  </si>
  <si>
    <t>المطبخ</t>
  </si>
  <si>
    <t>المخزن 02</t>
  </si>
  <si>
    <t>ص كهرباء</t>
  </si>
  <si>
    <t>ع.النظافة</t>
  </si>
  <si>
    <t>م.الانتاج والجودة</t>
  </si>
  <si>
    <t>مخزني</t>
  </si>
  <si>
    <t>ت.صحي</t>
  </si>
  <si>
    <t>السلك فترة مسائية</t>
  </si>
  <si>
    <t>الشبكة فترة مسائية</t>
  </si>
  <si>
    <t>الزنقاج فترة مسائية</t>
  </si>
  <si>
    <t>الكاليبراج فترة مسائية</t>
  </si>
  <si>
    <t>الصامولة فترة مسائية</t>
  </si>
  <si>
    <t>التيج فلتي فترة مسائية</t>
  </si>
  <si>
    <t>الفيلتاج فترة مسائية</t>
  </si>
  <si>
    <t>البراغي فترة مسائية</t>
  </si>
  <si>
    <t>زغيب السعيد</t>
  </si>
  <si>
    <t>السائق</t>
  </si>
  <si>
    <t>قرح زكية</t>
  </si>
  <si>
    <t>بكوش سعد</t>
  </si>
  <si>
    <t>231</t>
  </si>
  <si>
    <t>بن عيشة محمد</t>
  </si>
  <si>
    <t>وادة مريم</t>
  </si>
  <si>
    <t>بن عبد الله ايمن</t>
  </si>
  <si>
    <t>سلامة احمد البشير</t>
  </si>
  <si>
    <t>قرميط عبد الرؤوف</t>
  </si>
  <si>
    <t>بوقطاية محمد</t>
  </si>
  <si>
    <t>233</t>
  </si>
  <si>
    <t>دبار الاخضر</t>
  </si>
  <si>
    <t>قريرة عبد العزيز</t>
  </si>
  <si>
    <t>235</t>
  </si>
  <si>
    <t>N°</t>
  </si>
  <si>
    <t>Nom &amp; Prénom</t>
  </si>
  <si>
    <t>Boughettaya Mohamed Anouar</t>
  </si>
  <si>
    <t>Mesai mohammed bachir</t>
  </si>
  <si>
    <r>
      <t xml:space="preserve">POINTAGE MOIS </t>
    </r>
    <r>
      <rPr>
        <b/>
        <u/>
        <sz val="14"/>
        <color theme="1"/>
        <rFont val="Times New Roman"/>
        <family val="1"/>
      </rPr>
      <t xml:space="preserve">Janvier 2026 </t>
    </r>
    <r>
      <rPr>
        <b/>
        <sz val="14"/>
        <color theme="1"/>
        <rFont val="Times New Roman"/>
        <family val="1"/>
      </rPr>
      <t xml:space="preserve"> SARL FOR</t>
    </r>
  </si>
  <si>
    <r>
      <t>POINTAGE MOIS Janvier</t>
    </r>
    <r>
      <rPr>
        <b/>
        <u/>
        <sz val="14"/>
        <color theme="1"/>
        <rFont val="Times New Roman"/>
        <family val="1"/>
      </rPr>
      <t xml:space="preserve"> 2026 </t>
    </r>
    <r>
      <rPr>
        <b/>
        <sz val="14"/>
        <color theme="1"/>
        <rFont val="Times New Roman"/>
        <family val="1"/>
      </rPr>
      <t>SARL BTR</t>
    </r>
  </si>
  <si>
    <r>
      <t xml:space="preserve">POINTAGE MOIS </t>
    </r>
    <r>
      <rPr>
        <b/>
        <u/>
        <sz val="14"/>
        <color theme="1"/>
        <rFont val="Times New Roman"/>
        <family val="1"/>
      </rPr>
      <t xml:space="preserve">Janvier 2026 </t>
    </r>
    <r>
      <rPr>
        <b/>
        <sz val="14"/>
        <color theme="1"/>
        <rFont val="Times New Roman"/>
        <family val="1"/>
      </rPr>
      <t xml:space="preserve"> SARL VIGEX</t>
    </r>
  </si>
  <si>
    <r>
      <t xml:space="preserve">POINTAGE MOIS </t>
    </r>
    <r>
      <rPr>
        <b/>
        <u/>
        <sz val="14"/>
        <color theme="1"/>
        <rFont val="Times New Roman"/>
        <family val="1"/>
      </rPr>
      <t>Janvier 2026</t>
    </r>
    <r>
      <rPr>
        <b/>
        <sz val="14"/>
        <color theme="1"/>
        <rFont val="Times New Roman"/>
        <family val="1"/>
      </rPr>
      <t xml:space="preserve"> SARL KANTAL</t>
    </r>
  </si>
  <si>
    <r>
      <t>POINTAGE MOIS Janvier</t>
    </r>
    <r>
      <rPr>
        <b/>
        <u/>
        <sz val="14"/>
        <color theme="1"/>
        <rFont val="Times New Roman"/>
        <family val="1"/>
      </rPr>
      <t xml:space="preserve"> 2026</t>
    </r>
    <r>
      <rPr>
        <b/>
        <sz val="14"/>
        <color theme="1"/>
        <rFont val="Times New Roman"/>
        <family val="1"/>
      </rPr>
      <t xml:space="preserve"> SARL INNOTECH</t>
    </r>
  </si>
  <si>
    <t>allal</t>
  </si>
  <si>
    <t>زاير بشير</t>
  </si>
  <si>
    <t>زويزية مبروك</t>
  </si>
  <si>
    <t>ميداوي ابتسام</t>
  </si>
  <si>
    <t>حومدي اياس</t>
  </si>
  <si>
    <t>غريسي عبد الله</t>
  </si>
  <si>
    <t>بن عون اسامة</t>
  </si>
  <si>
    <t>الساعة</t>
  </si>
  <si>
    <t>الحضور</t>
  </si>
  <si>
    <t>الداهن</t>
  </si>
  <si>
    <t>الفيلتاش</t>
  </si>
  <si>
    <t>التركيب 1</t>
  </si>
  <si>
    <t>حارس</t>
  </si>
  <si>
    <t>جلاب السعيد</t>
  </si>
  <si>
    <t>غريسي ايوب</t>
  </si>
  <si>
    <t>سائق</t>
  </si>
  <si>
    <t>ص. كهرباء</t>
  </si>
  <si>
    <t>عطية سعد</t>
  </si>
  <si>
    <t>ع. مهني</t>
  </si>
  <si>
    <t>صامولة</t>
  </si>
  <si>
    <t>المخزن / شمسة</t>
  </si>
  <si>
    <t>م. انتاج</t>
  </si>
  <si>
    <t>التركيب 2</t>
  </si>
  <si>
    <t>قبنة عبد الرحمن</t>
  </si>
  <si>
    <t>ع.نظافة</t>
  </si>
  <si>
    <t>البراغي صباحا</t>
  </si>
  <si>
    <t>ترصيص صحي</t>
  </si>
  <si>
    <t>مسؤول الانتاج</t>
  </si>
  <si>
    <t>الزنقاج صباحا</t>
  </si>
  <si>
    <t>كهرباء</t>
  </si>
  <si>
    <t>الكرطون صباحا</t>
  </si>
  <si>
    <t>المزرعة</t>
  </si>
  <si>
    <t>م. المراقبة</t>
  </si>
  <si>
    <t>ع. نظافة</t>
  </si>
  <si>
    <t>النظافة</t>
  </si>
  <si>
    <t>غننة عبد الحاكم</t>
  </si>
  <si>
    <t>الادراة</t>
  </si>
  <si>
    <t>عبيدي اسامة</t>
  </si>
  <si>
    <t>جويدة احمد فوزي</t>
  </si>
  <si>
    <t>عاد احمد</t>
  </si>
  <si>
    <t>المخزن2</t>
  </si>
  <si>
    <t>البراغي مساء</t>
  </si>
  <si>
    <t>مكاوي ايمن</t>
  </si>
  <si>
    <t>غننه عبد الحاكم</t>
  </si>
  <si>
    <t>الشبكة صباحا</t>
  </si>
  <si>
    <t>Ahmid Rateb</t>
  </si>
  <si>
    <t>tpl</t>
  </si>
  <si>
    <t>Lagoubi Ramzi</t>
  </si>
  <si>
    <t>Gaboussa Ali</t>
  </si>
  <si>
    <t>Hammani Mohamed Larouci</t>
  </si>
  <si>
    <t xml:space="preserve">Dehimi Mokhtar </t>
  </si>
  <si>
    <t xml:space="preserve">Debbar Lakhdar </t>
  </si>
  <si>
    <t>Dehimi Abdelhafedh</t>
  </si>
  <si>
    <t>Zerbit Mohammed Tahar</t>
  </si>
  <si>
    <t xml:space="preserve">Zane Dalal </t>
  </si>
  <si>
    <t>Zouari Ahmed Meriem</t>
  </si>
  <si>
    <t>Moussaoui Djihad</t>
  </si>
  <si>
    <t xml:space="preserve">Kaddouri Mebarka </t>
  </si>
  <si>
    <t xml:space="preserve">Aroua Fatiha </t>
  </si>
  <si>
    <t xml:space="preserve">Tedjani Mohammed Tahar </t>
  </si>
  <si>
    <t xml:space="preserve">Saied Sad </t>
  </si>
  <si>
    <t>Chikha Mabrouk Khemeis</t>
  </si>
  <si>
    <t xml:space="preserve">Lebbihi Saad </t>
  </si>
  <si>
    <t>Ahmid Naim</t>
  </si>
  <si>
    <t>for</t>
  </si>
  <si>
    <t xml:space="preserve">Tedjini Anter </t>
  </si>
  <si>
    <t>innotech</t>
  </si>
  <si>
    <t>Hebieb Zohra</t>
  </si>
  <si>
    <t xml:space="preserve">Mesai Mohammed Brahim </t>
  </si>
  <si>
    <t xml:space="preserve">Mesai Mohamme Ali </t>
  </si>
  <si>
    <t>Cherifi Hacene</t>
  </si>
  <si>
    <t xml:space="preserve">Acila Brahim </t>
  </si>
  <si>
    <t xml:space="preserve">Triki Messaoud </t>
  </si>
  <si>
    <t>kantal</t>
  </si>
  <si>
    <t xml:space="preserve">Mammadi Bachir </t>
  </si>
  <si>
    <t xml:space="preserve">Zennache Lounis </t>
  </si>
  <si>
    <t xml:space="preserve">Debche Ammar </t>
  </si>
  <si>
    <t>Khellout Tarek</t>
  </si>
  <si>
    <t>Djaballah larbi</t>
  </si>
  <si>
    <t xml:space="preserve">Ayachi Mouhamed </t>
  </si>
  <si>
    <t xml:space="preserve">Bechiri Ali </t>
  </si>
  <si>
    <t>Touahria ilies</t>
  </si>
  <si>
    <t>مجمع تجاني الصناعي         تسبيقات شهرمارس  2026</t>
  </si>
  <si>
    <t>439</t>
  </si>
  <si>
    <t>338</t>
  </si>
  <si>
    <t>تجاني ايوب</t>
  </si>
  <si>
    <t>بن سعدية السعيد</t>
  </si>
  <si>
    <t>غريسي معتز</t>
  </si>
  <si>
    <t>مسعي احمد البشير</t>
  </si>
  <si>
    <t>بيه سنوان</t>
  </si>
  <si>
    <t>102</t>
  </si>
  <si>
    <t>سنوان بيه</t>
  </si>
  <si>
    <t>بن قانة محمد 2</t>
  </si>
  <si>
    <t>Bouta Soundes</t>
  </si>
  <si>
    <t>Tanneche tahar</t>
  </si>
  <si>
    <t>Said Mohammed Larbi</t>
  </si>
  <si>
    <t xml:space="preserve">Boutera Ahmed </t>
  </si>
  <si>
    <t>Grira Abdelaziz</t>
  </si>
  <si>
    <t>Yahi Said</t>
  </si>
  <si>
    <t>Homci Messaoud</t>
  </si>
  <si>
    <t xml:space="preserve">Homci Hicham </t>
  </si>
  <si>
    <t xml:space="preserve">Attia Salah </t>
  </si>
  <si>
    <t xml:space="preserve">Hamdi Aymen </t>
  </si>
  <si>
    <t>Ben aoun oussama</t>
  </si>
  <si>
    <t>Guediri Abd Errahmane</t>
  </si>
  <si>
    <t>Ghalia ilias</t>
  </si>
  <si>
    <t>Zair Bachir</t>
  </si>
  <si>
    <t>Hamtine Said</t>
  </si>
  <si>
    <t>Talbi youcef</t>
  </si>
  <si>
    <t xml:space="preserve">Mehayech Miloud </t>
  </si>
  <si>
    <t>Telhig Said</t>
  </si>
  <si>
    <t xml:space="preserve">Tedjani Mohammed Bachir </t>
  </si>
  <si>
    <t xml:space="preserve">Kebsa Aicha </t>
  </si>
  <si>
    <t>Innotech</t>
  </si>
  <si>
    <t>Moume Messaouda</t>
  </si>
  <si>
    <t>Moume Halima</t>
  </si>
  <si>
    <t>Biki Ouarda</t>
  </si>
  <si>
    <t>Abidi Saad Nacira</t>
  </si>
  <si>
    <t>Belal Aicha</t>
  </si>
  <si>
    <t>Medaoui Djemaa</t>
  </si>
  <si>
    <t>ZIDI RACHID</t>
  </si>
  <si>
    <t xml:space="preserve">Talbi Mohammed Sadek </t>
  </si>
  <si>
    <t>Aissaoui Ahmed Boukhari</t>
  </si>
  <si>
    <t xml:space="preserve">Reguiegue Ines </t>
  </si>
  <si>
    <t>Djerou Zohra</t>
  </si>
  <si>
    <t>Semina Hanane</t>
  </si>
  <si>
    <t>Bougezala Mehammed Karima</t>
  </si>
  <si>
    <t>Zine Salah Eddine</t>
  </si>
  <si>
    <t>Guerrah Torkiya</t>
  </si>
  <si>
    <t>Aguieb Zohra</t>
  </si>
  <si>
    <t xml:space="preserve">Ben Abdalah Mouldi  </t>
  </si>
  <si>
    <t>Belhadef Abd Errahmane</t>
  </si>
  <si>
    <t xml:space="preserve">Chouia Hamad </t>
  </si>
  <si>
    <t>btr</t>
  </si>
  <si>
    <t xml:space="preserve">Bekkouche Sad </t>
  </si>
  <si>
    <t xml:space="preserve">Hariz Bekkar Mehdi </t>
  </si>
  <si>
    <t>Fadel Abd Elhamid</t>
  </si>
  <si>
    <t xml:space="preserve">Dida Ramzi </t>
  </si>
  <si>
    <t>Touahria Ali</t>
  </si>
  <si>
    <t>Ferhat abdeldjabbar</t>
  </si>
  <si>
    <t xml:space="preserve">Baha Khalifa </t>
  </si>
  <si>
    <t>Guerfi Ishak</t>
  </si>
  <si>
    <t>Amamra abdessalem</t>
  </si>
  <si>
    <t>Mecheri Khaled</t>
  </si>
  <si>
    <t>Chihani Ahmed Amine</t>
  </si>
  <si>
    <t>Guemari Mazen Hasanine</t>
  </si>
  <si>
    <t>RADAD EL MEHDI</t>
  </si>
  <si>
    <t>Benghali Larbi</t>
  </si>
  <si>
    <t xml:space="preserve">Faizi Mouldi </t>
  </si>
  <si>
    <t>Said Salah</t>
  </si>
  <si>
    <t>Doua mohamed el habib</t>
  </si>
  <si>
    <t xml:space="preserve">Tidjani Mohamed Sadek </t>
  </si>
  <si>
    <t xml:space="preserve">Biki Haithem </t>
  </si>
  <si>
    <t>Hechifa Fathi</t>
  </si>
  <si>
    <t>Benyamma lazzouzi</t>
  </si>
  <si>
    <t>Achour Hadj Saad</t>
  </si>
  <si>
    <t xml:space="preserve">Touil Abd Elghani </t>
  </si>
  <si>
    <t>Henka ali</t>
  </si>
  <si>
    <t>Mihoub Youcef</t>
  </si>
  <si>
    <t>Medkour Abdelmadjid</t>
  </si>
  <si>
    <t>Faizi Fouad</t>
  </si>
  <si>
    <t>Doudou Noureddine</t>
  </si>
  <si>
    <t xml:space="preserve">Hammou Laid </t>
  </si>
  <si>
    <t>BEN AMAR AHMED</t>
  </si>
  <si>
    <t>Guebna Abd Errahmane</t>
  </si>
  <si>
    <t xml:space="preserve">Selmane Lamine </t>
  </si>
  <si>
    <t>Guermit Abderraouf</t>
  </si>
  <si>
    <t>Hamdi bachir</t>
  </si>
  <si>
    <t>Dechri Hadje Ali</t>
  </si>
  <si>
    <t xml:space="preserve">Ben Bidari Abdelafatah </t>
  </si>
  <si>
    <t>Hamied El walid</t>
  </si>
  <si>
    <t>KHENNEB MOHAMMED SALAH</t>
  </si>
  <si>
    <t>Zerrouk Abderrazak</t>
  </si>
  <si>
    <t xml:space="preserve">Zeghib Taoufik </t>
  </si>
  <si>
    <t>Mahboubi Abd Elaziz</t>
  </si>
  <si>
    <t xml:space="preserve">Cherfi Abde Ennour </t>
  </si>
  <si>
    <t>Tanneche Said</t>
  </si>
  <si>
    <t xml:space="preserve">Gherissi Ayoub </t>
  </si>
  <si>
    <t>Moumen messaoud bachir</t>
  </si>
  <si>
    <t>Houmdi Ilyass</t>
  </si>
  <si>
    <t>vigex</t>
  </si>
  <si>
    <t xml:space="preserve">Heniat Elmouldi </t>
  </si>
  <si>
    <t>Gherissi Zakaria</t>
  </si>
  <si>
    <t>Messaoudi djamal</t>
  </si>
  <si>
    <t>Ben abdallah Aymen</t>
  </si>
  <si>
    <t xml:space="preserve">Boudiaf Boudiaf </t>
  </si>
  <si>
    <t>Soufli Abdelouahab</t>
  </si>
  <si>
    <t>Tanneche Abdelmalek</t>
  </si>
  <si>
    <t>Biki mohammed redha</t>
  </si>
  <si>
    <t>Allag mohammed larbi</t>
  </si>
  <si>
    <t xml:space="preserve">Sobti Mahmoud Tidjani </t>
  </si>
  <si>
    <t>Maouche Sadok</t>
  </si>
  <si>
    <t>Tedjini noureddine</t>
  </si>
  <si>
    <t xml:space="preserve">Hamied Ahmed Tedjani </t>
  </si>
  <si>
    <t>Ben Abdallah Hamza</t>
  </si>
  <si>
    <t>Zeghdi Mouhammed Salah</t>
  </si>
  <si>
    <t>Amer Abdemonaim</t>
  </si>
  <si>
    <t>Ben Bordi Messaoud</t>
  </si>
  <si>
    <t>Ben Amor Imad Edine</t>
  </si>
  <si>
    <t>Ghedeir Amar Amjad</t>
  </si>
  <si>
    <t>Abbassi Omar</t>
  </si>
  <si>
    <t>Attia Saad</t>
  </si>
  <si>
    <t>Djaradi Hamza</t>
  </si>
  <si>
    <t>Djouida ahmed fawzi</t>
  </si>
  <si>
    <t>Laouedj Hacen</t>
  </si>
  <si>
    <t>Tamma ahmed bachir</t>
  </si>
  <si>
    <t>Hebieb Belgecem</t>
  </si>
  <si>
    <t>Oudini Bilal</t>
  </si>
  <si>
    <t>Sebbak Abelkader Boubaker</t>
  </si>
  <si>
    <t>Ghenabzia Abdelkamel</t>
  </si>
  <si>
    <t>Hima Ibrahim</t>
  </si>
  <si>
    <t>Barka Messaoud</t>
  </si>
  <si>
    <t>Zouizia mabrouk</t>
  </si>
  <si>
    <t xml:space="preserve">Cherief Ahmed </t>
  </si>
  <si>
    <t>Gherbi Djamal</t>
  </si>
  <si>
    <t xml:space="preserve">BEN ALIA CHOUKRI </t>
  </si>
  <si>
    <t xml:space="preserve">Tlili El Hadi </t>
  </si>
  <si>
    <t>Ayachi Amor Abdelfattah</t>
  </si>
  <si>
    <t>Fares Mourad</t>
  </si>
  <si>
    <t xml:space="preserve">Gherissi Moteez Billah </t>
  </si>
  <si>
    <t>Ben Chahba Abd Ellaziz</t>
  </si>
  <si>
    <t xml:space="preserve">Djellab Said </t>
  </si>
  <si>
    <t xml:space="preserve">Soudani Djamal </t>
  </si>
  <si>
    <t>Tedjani Ayoub</t>
  </si>
  <si>
    <t xml:space="preserve">Yahiaoui Yassine </t>
  </si>
  <si>
    <t>Medaoui Youssef</t>
  </si>
  <si>
    <t xml:space="preserve">Tedjini Hocine </t>
  </si>
  <si>
    <t>Ghedeir Amar Abdelghani</t>
  </si>
  <si>
    <t xml:space="preserve">Ben Haoua Abde Lkader </t>
  </si>
  <si>
    <t>Ben haoua isamail</t>
  </si>
  <si>
    <t xml:space="preserve">Zeghdi Kamel </t>
  </si>
  <si>
    <t>Belkadi Lamnouar</t>
  </si>
  <si>
    <t xml:space="preserve">Dahmri Faouzi </t>
  </si>
  <si>
    <t>Boudina Imad Eddine</t>
  </si>
  <si>
    <t xml:space="preserve">Gherissi Khalifa </t>
  </si>
  <si>
    <t>Ben Yamma Brahim</t>
  </si>
  <si>
    <t xml:space="preserve">Atig Mohammed </t>
  </si>
  <si>
    <t xml:space="preserve">Mimouni Hacen </t>
  </si>
  <si>
    <t>SOUALAH AHMIMA SAAD</t>
  </si>
  <si>
    <t>Mesai Mohammed Said</t>
  </si>
  <si>
    <t>Slama ahmed bachir</t>
  </si>
  <si>
    <t xml:space="preserve">Heguig lotfi </t>
  </si>
  <si>
    <t>Ghenbazi Mabrouk</t>
  </si>
  <si>
    <t xml:space="preserve">Balla Aimad Adine </t>
  </si>
  <si>
    <t>Abbassi said</t>
  </si>
  <si>
    <t xml:space="preserve">Gherissi Abd Allah </t>
  </si>
  <si>
    <t>Merad Abdelkader</t>
  </si>
  <si>
    <t xml:space="preserve">NESBA BRAHIM </t>
  </si>
  <si>
    <t xml:space="preserve">Selmi ahmed </t>
  </si>
  <si>
    <t>Bouguettaya Mohammed Said</t>
  </si>
  <si>
    <t>Bek Ousama</t>
  </si>
  <si>
    <t>Rahali Essebti</t>
  </si>
  <si>
    <t xml:space="preserve">Mammadi Laid </t>
  </si>
  <si>
    <t>Aissaoi Hamza</t>
  </si>
  <si>
    <t xml:space="preserve">Kaddour Abd Elbasset </t>
  </si>
  <si>
    <t>Hechifa Mohammed</t>
  </si>
  <si>
    <t xml:space="preserve">Atir Said </t>
  </si>
  <si>
    <t>Menani Hamza</t>
  </si>
  <si>
    <t>Lati Ben Salem</t>
  </si>
  <si>
    <t xml:space="preserve">Hebieb Abd Errazak </t>
  </si>
  <si>
    <t>Hamdi Ilias</t>
  </si>
  <si>
    <t>Makaoui noureddine</t>
  </si>
  <si>
    <t>Makaoui Ahmed Chaouki</t>
  </si>
  <si>
    <t>Abid Boubaker</t>
  </si>
  <si>
    <t>Fadel sadam</t>
  </si>
  <si>
    <t>Fadel Belgacem</t>
  </si>
  <si>
    <t>Meniai abdelbasset</t>
  </si>
  <si>
    <t xml:space="preserve">Mecheri Imad Eddine </t>
  </si>
  <si>
    <t>Nisse Miloud</t>
  </si>
  <si>
    <t>Aya Mourad</t>
  </si>
  <si>
    <t>Zerig Mohammed</t>
  </si>
  <si>
    <t xml:space="preserve">Hoggui Larouci </t>
  </si>
  <si>
    <t>Souici Ahmed</t>
  </si>
  <si>
    <t>Ghanem Nabil</t>
  </si>
  <si>
    <t>Ahmed ethani laiche</t>
  </si>
  <si>
    <t xml:space="preserve">Meneceur Anouar </t>
  </si>
  <si>
    <t>Guediri Hmza</t>
  </si>
  <si>
    <t xml:space="preserve">Ben Saadia Saad </t>
  </si>
  <si>
    <t xml:space="preserve">Lemmouchi Youcef </t>
  </si>
  <si>
    <t>Sadani Ahmed</t>
  </si>
  <si>
    <t>Bali abdelrrazzak</t>
  </si>
  <si>
    <t>Djerraya Rezgui</t>
  </si>
  <si>
    <t>Zebidi Ali</t>
  </si>
  <si>
    <t>Nesri Zaid</t>
  </si>
  <si>
    <t xml:space="preserve">Ben Ahmed Amor </t>
  </si>
  <si>
    <t>Kaddour Foudhel</t>
  </si>
  <si>
    <t>Berretima abdelkrim</t>
  </si>
  <si>
    <t>Ouggadi Said</t>
  </si>
  <si>
    <t xml:space="preserve">Kecheha Abd Elfatah </t>
  </si>
  <si>
    <t>Salem Ilias</t>
  </si>
  <si>
    <t xml:space="preserve">Chelbi Youcef </t>
  </si>
  <si>
    <t>Labed abdelouahab</t>
  </si>
  <si>
    <t xml:space="preserve">Ferhat Rabie </t>
  </si>
  <si>
    <t>Necib arafat</t>
  </si>
  <si>
    <t>Dida Oualid</t>
  </si>
  <si>
    <t>DIA BOUBAKEUR</t>
  </si>
  <si>
    <t>Mahboub misbah oualid</t>
  </si>
  <si>
    <t>Atallah riadh</t>
  </si>
  <si>
    <t xml:space="preserve">Boudiaf Sabri </t>
  </si>
  <si>
    <t xml:space="preserve">Meziou Mohamed </t>
  </si>
  <si>
    <t xml:space="preserve">DOUCHE ABDELKADER </t>
  </si>
  <si>
    <t>RAHAL ABDELBAKI</t>
  </si>
  <si>
    <t>Derouiche Abdallah</t>
  </si>
  <si>
    <t xml:space="preserve">Chihani Abd Elouahad </t>
  </si>
  <si>
    <t>Rahal othman</t>
  </si>
  <si>
    <t xml:space="preserve">Tedjani Nabil </t>
  </si>
  <si>
    <t>Benaicha Mohammed</t>
  </si>
  <si>
    <t xml:space="preserve">Touahar Mahmoud </t>
  </si>
  <si>
    <t>Dechri Abdedjabar</t>
  </si>
  <si>
    <t>SAHA ALI</t>
  </si>
  <si>
    <t>Felioune abdelkader</t>
  </si>
  <si>
    <t>Saha Larbi</t>
  </si>
  <si>
    <t>Houidj Fares</t>
  </si>
  <si>
    <t>Abdelkrim mounir</t>
  </si>
  <si>
    <t>Dida tahar</t>
  </si>
  <si>
    <t>Nouiouat Chouiter Sofiane</t>
  </si>
  <si>
    <t>Bezaidia Amir</t>
  </si>
  <si>
    <t xml:space="preserve">Abde Algoui Ammar </t>
  </si>
  <si>
    <t>Rebiai Salem</t>
  </si>
  <si>
    <t>Lacheheb boubaker</t>
  </si>
  <si>
    <t xml:space="preserve">Ben Ahmed Younesse </t>
  </si>
  <si>
    <t>Segueni okba</t>
  </si>
  <si>
    <t xml:space="preserve">Obiedi Oussama </t>
  </si>
  <si>
    <t xml:space="preserve">Atik Larbi Youcef </t>
  </si>
  <si>
    <t>Messai ahmed bachir</t>
  </si>
  <si>
    <t>Kecheha Adel</t>
  </si>
  <si>
    <t xml:space="preserve">Rebbouh Miloud </t>
  </si>
  <si>
    <t xml:space="preserve">Amer Djalal </t>
  </si>
  <si>
    <t xml:space="preserve">Tlili Tahar </t>
  </si>
  <si>
    <t>ABABA HACHEM</t>
  </si>
  <si>
    <t>Kot Nour Eddine</t>
  </si>
  <si>
    <t>Brahmi ammar</t>
  </si>
  <si>
    <t xml:space="preserve">Youmbai Mohammed </t>
  </si>
  <si>
    <t xml:space="preserve">HAMMADI EL HABIB </t>
  </si>
  <si>
    <t>Djaballah abdessalam</t>
  </si>
  <si>
    <t xml:space="preserve">Mammadi Mohammed El Habib </t>
  </si>
  <si>
    <t>Hamied Hamza</t>
  </si>
  <si>
    <t>Zebidi djafar</t>
  </si>
  <si>
    <t>Koubaa Mohamed</t>
  </si>
  <si>
    <t>Dhrir Thameur</t>
  </si>
  <si>
    <t>Belakhdar saad</t>
  </si>
  <si>
    <t>Bouguettaya mohammed</t>
  </si>
  <si>
    <t>Mekaoui aymen</t>
  </si>
  <si>
    <t>Guediri Abderrahmane</t>
  </si>
  <si>
    <t>عطا الله رياض</t>
  </si>
  <si>
    <t>نيد تومي</t>
  </si>
  <si>
    <t>بن عبد  الله حمزه</t>
  </si>
  <si>
    <t xml:space="preserve">اسم الشركة </t>
  </si>
  <si>
    <t xml:space="preserve">اسم العامل بالفرنسية </t>
  </si>
  <si>
    <t xml:space="preserve">اسم العامل بالعربية </t>
  </si>
  <si>
    <t>رقم الموظف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</si>
</sst>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1"/>
      <color theme="1"/>
      <name val="Arial"/>
      <family val="2"/>
      <scheme val="minor"/>
    </font>
    <font>
      <b/>
      <sz val="16"/>
      <color rgb="FF000000"/>
      <name val="Times New Roman"/>
      <family val="1"/>
    </font>
    <font>
      <sz val="11"/>
      <color rgb="FF000000"/>
      <name val="Calibri"/>
      <family val="2"/>
    </font>
    <font>
      <b/>
      <sz val="20"/>
      <color rgb="FF000000"/>
      <name val="Times New Roman"/>
      <family val="1"/>
    </font>
    <font>
      <b/>
      <sz val="22"/>
      <color rgb="FF000000"/>
      <name val="Times New Roman"/>
      <family val="1"/>
    </font>
    <font>
      <sz val="10"/>
      <color rgb="FF000000"/>
      <name val="Arial"/>
      <family val="2"/>
    </font>
    <font>
      <b/>
      <sz val="24"/>
      <color rgb="FF000000"/>
      <name val="Times New Roman"/>
      <family val="1"/>
    </font>
    <font>
      <sz val="24"/>
      <color theme="1"/>
      <name val="Arial"/>
      <family val="2"/>
      <scheme val="minor"/>
    </font>
    <font>
      <sz val="24"/>
      <color rgb="FF000000"/>
      <name val="Times New Roman"/>
      <family val="1"/>
    </font>
    <font>
      <b/>
      <sz val="26"/>
      <color rgb="FF000000"/>
      <name val="Times New Roman"/>
      <family val="1"/>
    </font>
    <font>
      <sz val="26"/>
      <color theme="1"/>
      <name val="Arial"/>
      <family val="2"/>
      <scheme val="minor"/>
    </font>
    <font>
      <b/>
      <sz val="36"/>
      <color rgb="FFFF0000"/>
      <name val="Times New Roman"/>
      <family val="1"/>
    </font>
    <font>
      <b/>
      <sz val="24"/>
      <color theme="1"/>
      <name val="Arial"/>
      <family val="2"/>
      <scheme val="minor"/>
    </font>
    <font>
      <b/>
      <sz val="36"/>
      <color theme="1"/>
      <name val="Arial"/>
      <family val="2"/>
      <scheme val="minor"/>
    </font>
    <font>
      <sz val="9"/>
      <name val="Arial"/>
      <family val="2"/>
    </font>
    <font>
      <sz val="8"/>
      <name val="Tahoma"/>
      <family val="2"/>
    </font>
    <font>
      <sz val="10"/>
      <name val="Arial"/>
      <family val="2"/>
    </font>
    <font>
      <b/>
      <sz val="10"/>
      <color rgb="FF000000"/>
      <name val="Times New Roman"/>
      <family val="1"/>
    </font>
    <font>
      <b/>
      <sz val="110"/>
      <color rgb="FF000000"/>
      <name val="Times New Roman"/>
      <family val="1"/>
    </font>
    <font>
      <b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Arial"/>
      <family val="2"/>
      <scheme val="minor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rial"/>
      <family val="2"/>
      <scheme val="minor"/>
    </font>
    <font>
      <b/>
      <sz val="18"/>
      <color rgb="FF000000"/>
      <name val="Times New Roman"/>
      <family val="1"/>
    </font>
    <font>
      <sz val="12"/>
      <name val="Times New Roman"/>
      <family val="1"/>
    </font>
    <font>
      <sz val="11"/>
      <color rgb="FF000000"/>
      <name val="Arial"/>
      <family val="2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0"/>
      <color theme="1"/>
      <name val="Arial"/>
      <family val="2"/>
      <scheme val="minor"/>
    </font>
    <font>
      <sz val="110"/>
      <color rgb="FF000000"/>
      <name val="Times New Roman"/>
      <family val="1"/>
    </font>
    <font>
      <b/>
      <i/>
      <u/>
      <sz val="26"/>
      <color rgb="FF000000"/>
      <name val="Times New Roman"/>
      <family val="1"/>
    </font>
    <font>
      <b/>
      <sz val="22"/>
      <color theme="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00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</patternFill>
    </fill>
    <fill>
      <patternFill patternType="solid">
        <fgColor rgb="FF3366FF"/>
        <bgColor rgb="FFFFFFFF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3EB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</borders>
  <cellStyleXfs count="7">
    <xf numFmtId="0" fontId="0" fillId="0" borderId="0"/>
    <xf numFmtId="0" fontId="2" fillId="0" borderId="0" applyNumberFormat="0" applyFont="0" applyBorder="0" applyProtection="0"/>
    <xf numFmtId="0" fontId="5" fillId="0" borderId="0" applyNumberFormat="0" applyBorder="0" applyProtection="0">
      <alignment vertical="top"/>
    </xf>
    <xf numFmtId="0" fontId="2" fillId="0" borderId="0" applyNumberFormat="0" applyFont="0" applyBorder="0" applyProtection="0"/>
    <xf numFmtId="0" fontId="5" fillId="0" borderId="0" applyNumberFormat="0" applyBorder="0" applyProtection="0">
      <alignment vertical="top"/>
    </xf>
    <xf numFmtId="0" fontId="16" fillId="0" borderId="0"/>
    <xf numFmtId="9" fontId="35" fillId="0" borderId="0" applyFont="0" applyFill="0" applyBorder="0" applyAlignment="0" applyProtection="0"/>
  </cellStyleXfs>
  <cellXfs count="196">
    <xf numFmtId="0" fontId="0" fillId="0" borderId="0" xfId="0"/>
    <xf numFmtId="0" fontId="9" fillId="0" borderId="4" xfId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 wrapText="1" readingOrder="2"/>
    </xf>
    <xf numFmtId="0" fontId="9" fillId="0" borderId="4" xfId="0" applyFont="1" applyBorder="1" applyAlignment="1">
      <alignment horizontal="center" vertical="center"/>
    </xf>
    <xf numFmtId="0" fontId="10" fillId="0" borderId="0" xfId="0" applyFont="1"/>
    <xf numFmtId="0" fontId="9" fillId="0" borderId="5" xfId="0" applyFont="1" applyBorder="1" applyAlignment="1">
      <alignment vertical="center"/>
    </xf>
    <xf numFmtId="0" fontId="9" fillId="0" borderId="4" xfId="4" applyFont="1" applyBorder="1" applyAlignment="1">
      <alignment horizontal="center" vertical="center" wrapText="1" readingOrder="2"/>
    </xf>
    <xf numFmtId="49" fontId="9" fillId="0" borderId="4" xfId="1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10" fillId="0" borderId="0" xfId="0" applyNumberFormat="1" applyFont="1"/>
    <xf numFmtId="49" fontId="9" fillId="0" borderId="4" xfId="3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vertical="center"/>
    </xf>
    <xf numFmtId="49" fontId="9" fillId="0" borderId="4" xfId="2" applyNumberFormat="1" applyFont="1" applyBorder="1" applyAlignment="1">
      <alignment horizontal="center" vertical="center" wrapText="1" readingOrder="2"/>
    </xf>
    <xf numFmtId="49" fontId="9" fillId="0" borderId="1" xfId="0" applyNumberFormat="1" applyFont="1" applyBorder="1" applyAlignment="1">
      <alignment horizontal="center" vertical="center"/>
    </xf>
    <xf numFmtId="49" fontId="9" fillId="0" borderId="4" xfId="4" applyNumberFormat="1" applyFont="1" applyBorder="1" applyAlignment="1">
      <alignment horizontal="center" vertical="center" wrapText="1" readingOrder="2"/>
    </xf>
    <xf numFmtId="49" fontId="9" fillId="0" borderId="4" xfId="4" applyNumberFormat="1" applyFont="1" applyBorder="1" applyAlignment="1">
      <alignment horizontal="center" vertical="center" wrapText="1" readingOrder="1"/>
    </xf>
    <xf numFmtId="49" fontId="9" fillId="2" borderId="4" xfId="1" applyNumberFormat="1" applyFont="1" applyFill="1" applyBorder="1" applyAlignment="1">
      <alignment horizontal="center" vertical="center"/>
    </xf>
    <xf numFmtId="49" fontId="9" fillId="2" borderId="4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49" fontId="9" fillId="4" borderId="4" xfId="1" applyNumberFormat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49" fontId="9" fillId="4" borderId="4" xfId="3" applyNumberFormat="1" applyFont="1" applyFill="1" applyBorder="1" applyAlignment="1">
      <alignment horizontal="center" vertical="center"/>
    </xf>
    <xf numFmtId="49" fontId="9" fillId="4" borderId="4" xfId="0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4" xfId="2" applyFont="1" applyFill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/>
    </xf>
    <xf numFmtId="0" fontId="9" fillId="2" borderId="4" xfId="2" applyFont="1" applyFill="1" applyBorder="1" applyAlignment="1">
      <alignment horizontal="center" vertical="center" wrapText="1" readingOrder="2"/>
    </xf>
    <xf numFmtId="49" fontId="9" fillId="9" borderId="4" xfId="1" applyNumberFormat="1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9" fillId="9" borderId="4" xfId="1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49" fontId="9" fillId="7" borderId="4" xfId="0" applyNumberFormat="1" applyFont="1" applyFill="1" applyBorder="1" applyAlignment="1">
      <alignment horizontal="center" vertical="center"/>
    </xf>
    <xf numFmtId="0" fontId="9" fillId="7" borderId="4" xfId="1" applyFont="1" applyFill="1" applyBorder="1" applyAlignment="1">
      <alignment horizontal="center" vertical="center"/>
    </xf>
    <xf numFmtId="49" fontId="9" fillId="0" borderId="10" xfId="0" applyNumberFormat="1" applyFont="1" applyBorder="1" applyAlignment="1">
      <alignment vertical="center"/>
    </xf>
    <xf numFmtId="0" fontId="0" fillId="15" borderId="0" xfId="0" applyFill="1"/>
    <xf numFmtId="0" fontId="21" fillId="16" borderId="4" xfId="0" applyFont="1" applyFill="1" applyBorder="1" applyAlignment="1">
      <alignment horizontal="left" vertical="center"/>
    </xf>
    <xf numFmtId="0" fontId="21" fillId="16" borderId="4" xfId="0" applyFont="1" applyFill="1" applyBorder="1" applyAlignment="1">
      <alignment horizontal="center" vertical="center"/>
    </xf>
    <xf numFmtId="0" fontId="17" fillId="17" borderId="0" xfId="4" applyFont="1" applyFill="1" applyBorder="1" applyAlignment="1">
      <alignment horizontal="center" vertical="center" wrapText="1" readingOrder="2"/>
    </xf>
    <xf numFmtId="0" fontId="17" fillId="18" borderId="0" xfId="3" applyFont="1" applyFill="1" applyBorder="1" applyAlignment="1">
      <alignment horizontal="center" vertical="center"/>
    </xf>
    <xf numFmtId="0" fontId="22" fillId="0" borderId="0" xfId="0" applyFont="1"/>
    <xf numFmtId="0" fontId="23" fillId="15" borderId="4" xfId="0" applyFont="1" applyFill="1" applyBorder="1" applyAlignment="1">
      <alignment horizontal="left" vertical="center"/>
    </xf>
    <xf numFmtId="0" fontId="24" fillId="19" borderId="4" xfId="0" applyFont="1" applyFill="1" applyBorder="1" applyAlignment="1">
      <alignment horizontal="left"/>
    </xf>
    <xf numFmtId="0" fontId="22" fillId="15" borderId="0" xfId="0" applyFont="1" applyFill="1"/>
    <xf numFmtId="0" fontId="23" fillId="15" borderId="4" xfId="0" applyFont="1" applyFill="1" applyBorder="1" applyAlignment="1">
      <alignment horizontal="center" vertical="center"/>
    </xf>
    <xf numFmtId="0" fontId="24" fillId="15" borderId="4" xfId="0" applyFont="1" applyFill="1" applyBorder="1" applyAlignment="1">
      <alignment horizontal="left"/>
    </xf>
    <xf numFmtId="0" fontId="17" fillId="18" borderId="0" xfId="1" applyFont="1" applyFill="1" applyBorder="1" applyAlignment="1">
      <alignment horizontal="center" vertical="center"/>
    </xf>
    <xf numFmtId="0" fontId="23" fillId="7" borderId="4" xfId="0" applyFont="1" applyFill="1" applyBorder="1" applyAlignment="1">
      <alignment horizontal="left" vertical="center"/>
    </xf>
    <xf numFmtId="0" fontId="23" fillId="8" borderId="4" xfId="0" applyFont="1" applyFill="1" applyBorder="1" applyAlignment="1">
      <alignment horizontal="left" vertical="center"/>
    </xf>
    <xf numFmtId="0" fontId="22" fillId="15" borderId="0" xfId="0" applyFont="1" applyFill="1" applyAlignment="1">
      <alignment horizontal="center" vertical="center"/>
    </xf>
    <xf numFmtId="0" fontId="26" fillId="15" borderId="0" xfId="1" applyFont="1" applyFill="1" applyBorder="1" applyAlignment="1">
      <alignment horizontal="center" vertical="center"/>
    </xf>
    <xf numFmtId="0" fontId="17" fillId="15" borderId="0" xfId="0" applyFont="1" applyFill="1" applyAlignment="1">
      <alignment horizontal="center" vertical="center"/>
    </xf>
    <xf numFmtId="0" fontId="23" fillId="0" borderId="4" xfId="0" applyFont="1" applyBorder="1" applyAlignment="1">
      <alignment horizontal="left" vertical="center"/>
    </xf>
    <xf numFmtId="0" fontId="28" fillId="18" borderId="0" xfId="1" applyFont="1" applyFill="1" applyBorder="1" applyAlignment="1">
      <alignment horizontal="center" vertical="center"/>
    </xf>
    <xf numFmtId="0" fontId="29" fillId="16" borderId="4" xfId="0" applyFont="1" applyFill="1" applyBorder="1" applyAlignment="1">
      <alignment horizontal="left" vertical="center"/>
    </xf>
    <xf numFmtId="0" fontId="30" fillId="16" borderId="4" xfId="0" applyFont="1" applyFill="1" applyBorder="1" applyAlignment="1">
      <alignment horizontal="left" vertical="center"/>
    </xf>
    <xf numFmtId="0" fontId="30" fillId="16" borderId="4" xfId="0" applyFont="1" applyFill="1" applyBorder="1" applyAlignment="1">
      <alignment horizontal="center" vertical="center"/>
    </xf>
    <xf numFmtId="0" fontId="17" fillId="15" borderId="0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1" fillId="0" borderId="0" xfId="0" applyFont="1"/>
    <xf numFmtId="0" fontId="31" fillId="0" borderId="0" xfId="0" applyFont="1" applyAlignment="1">
      <alignment horizontal="center" vertical="center"/>
    </xf>
    <xf numFmtId="0" fontId="28" fillId="18" borderId="0" xfId="3" applyFont="1" applyFill="1" applyBorder="1" applyAlignment="1">
      <alignment horizontal="center" vertical="center"/>
    </xf>
    <xf numFmtId="0" fontId="28" fillId="15" borderId="0" xfId="3" applyFont="1" applyFill="1" applyBorder="1" applyAlignment="1">
      <alignment horizontal="center" vertical="center"/>
    </xf>
    <xf numFmtId="0" fontId="28" fillId="17" borderId="0" xfId="3" applyFont="1" applyFill="1" applyBorder="1" applyAlignment="1">
      <alignment horizontal="center" vertical="center"/>
    </xf>
    <xf numFmtId="0" fontId="32" fillId="15" borderId="0" xfId="1" applyFont="1" applyFill="1" applyBorder="1" applyAlignment="1">
      <alignment horizontal="center" vertical="center"/>
    </xf>
    <xf numFmtId="0" fontId="28" fillId="15" borderId="0" xfId="1" applyFont="1" applyFill="1" applyBorder="1" applyAlignment="1">
      <alignment horizontal="center" vertical="center"/>
    </xf>
    <xf numFmtId="0" fontId="28" fillId="15" borderId="0" xfId="0" applyFont="1" applyFill="1" applyAlignment="1">
      <alignment horizontal="center" vertical="center"/>
    </xf>
    <xf numFmtId="0" fontId="27" fillId="15" borderId="0" xfId="0" applyFont="1" applyFill="1" applyAlignment="1">
      <alignment horizontal="left" vertical="center"/>
    </xf>
    <xf numFmtId="0" fontId="33" fillId="15" borderId="0" xfId="0" applyFont="1" applyFill="1" applyAlignment="1">
      <alignment horizontal="left"/>
    </xf>
    <xf numFmtId="0" fontId="27" fillId="15" borderId="0" xfId="0" applyFont="1" applyFill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3" fillId="0" borderId="4" xfId="0" applyFont="1" applyBorder="1" applyAlignment="1">
      <alignment horizontal="center" vertical="center"/>
    </xf>
    <xf numFmtId="0" fontId="23" fillId="0" borderId="4" xfId="0" applyFont="1" applyBorder="1"/>
    <xf numFmtId="0" fontId="24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4" fillId="0" borderId="9" xfId="0" applyFont="1" applyBorder="1" applyAlignment="1">
      <alignment horizontal="left"/>
    </xf>
    <xf numFmtId="0" fontId="23" fillId="0" borderId="9" xfId="0" applyFont="1" applyBorder="1" applyAlignment="1">
      <alignment horizontal="center" vertical="center"/>
    </xf>
    <xf numFmtId="0" fontId="23" fillId="0" borderId="4" xfId="0" applyFont="1" applyBorder="1" applyAlignment="1">
      <alignment horizontal="left"/>
    </xf>
    <xf numFmtId="0" fontId="23" fillId="0" borderId="9" xfId="0" applyFont="1" applyBorder="1" applyAlignment="1">
      <alignment horizontal="left"/>
    </xf>
    <xf numFmtId="0" fontId="27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17" fillId="0" borderId="0" xfId="4" applyFont="1" applyBorder="1" applyAlignment="1">
      <alignment horizontal="center" vertical="center" wrapText="1" readingOrder="2"/>
    </xf>
    <xf numFmtId="0" fontId="17" fillId="0" borderId="0" xfId="3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49" fontId="15" fillId="20" borderId="6" xfId="0" applyNumberFormat="1" applyFont="1" applyFill="1" applyBorder="1" applyAlignment="1">
      <alignment horizontal="center" vertical="center"/>
    </xf>
    <xf numFmtId="0" fontId="16" fillId="20" borderId="0" xfId="0" applyFont="1" applyFill="1"/>
    <xf numFmtId="49" fontId="15" fillId="20" borderId="11" xfId="0" applyNumberFormat="1" applyFont="1" applyFill="1" applyBorder="1" applyAlignment="1">
      <alignment horizontal="center" vertical="center"/>
    </xf>
    <xf numFmtId="49" fontId="15" fillId="15" borderId="0" xfId="0" applyNumberFormat="1" applyFont="1" applyFill="1" applyAlignment="1">
      <alignment horizontal="center" vertical="center"/>
    </xf>
    <xf numFmtId="49" fontId="15" fillId="20" borderId="4" xfId="0" applyNumberFormat="1" applyFont="1" applyFill="1" applyBorder="1" applyAlignment="1">
      <alignment horizontal="center" vertical="center"/>
    </xf>
    <xf numFmtId="0" fontId="0" fillId="0" borderId="4" xfId="0" applyBorder="1"/>
    <xf numFmtId="22" fontId="14" fillId="0" borderId="6" xfId="0" applyNumberFormat="1" applyFont="1" applyBorder="1" applyAlignment="1">
      <alignment horizontal="left" vertical="center"/>
    </xf>
    <xf numFmtId="20" fontId="0" fillId="0" borderId="0" xfId="0" applyNumberFormat="1"/>
    <xf numFmtId="49" fontId="14" fillId="0" borderId="6" xfId="0" applyNumberFormat="1" applyFont="1" applyBorder="1" applyAlignment="1">
      <alignment horizontal="left" vertical="center"/>
    </xf>
    <xf numFmtId="49" fontId="14" fillId="0" borderId="11" xfId="0" applyNumberFormat="1" applyFont="1" applyBorder="1" applyAlignment="1">
      <alignment horizontal="left" vertical="center"/>
    </xf>
    <xf numFmtId="49" fontId="14" fillId="0" borderId="4" xfId="0" applyNumberFormat="1" applyFont="1" applyBorder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20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4" fillId="0" borderId="6" xfId="0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49" fontId="9" fillId="15" borderId="4" xfId="1" applyNumberFormat="1" applyFont="1" applyFill="1" applyBorder="1" applyAlignment="1">
      <alignment horizontal="center" vertical="center"/>
    </xf>
    <xf numFmtId="0" fontId="9" fillId="15" borderId="4" xfId="2" applyFont="1" applyFill="1" applyBorder="1" applyAlignment="1">
      <alignment horizontal="center" vertical="center" wrapText="1" readingOrder="2"/>
    </xf>
    <xf numFmtId="0" fontId="9" fillId="15" borderId="4" xfId="1" applyFont="1" applyFill="1" applyBorder="1" applyAlignment="1">
      <alignment horizontal="center" vertical="center"/>
    </xf>
    <xf numFmtId="49" fontId="9" fillId="15" borderId="4" xfId="3" applyNumberFormat="1" applyFont="1" applyFill="1" applyBorder="1" applyAlignment="1">
      <alignment horizontal="center" vertical="center"/>
    </xf>
    <xf numFmtId="0" fontId="9" fillId="15" borderId="4" xfId="4" applyFont="1" applyFill="1" applyBorder="1" applyAlignment="1">
      <alignment horizontal="center" vertical="center" wrapText="1" readingOrder="2"/>
    </xf>
    <xf numFmtId="49" fontId="9" fillId="15" borderId="4" xfId="0" applyNumberFormat="1" applyFont="1" applyFill="1" applyBorder="1" applyAlignment="1">
      <alignment horizontal="center" vertical="center"/>
    </xf>
    <xf numFmtId="0" fontId="9" fillId="15" borderId="4" xfId="0" applyFont="1" applyFill="1" applyBorder="1" applyAlignment="1">
      <alignment horizontal="center" vertical="center"/>
    </xf>
    <xf numFmtId="0" fontId="9" fillId="15" borderId="5" xfId="0" applyFont="1" applyFill="1" applyBorder="1" applyAlignment="1">
      <alignment horizontal="center" vertical="center"/>
    </xf>
    <xf numFmtId="0" fontId="1" fillId="18" borderId="4" xfId="1" applyFont="1" applyFill="1" applyBorder="1" applyAlignment="1">
      <alignment horizontal="center" vertical="center"/>
    </xf>
    <xf numFmtId="0" fontId="1" fillId="15" borderId="4" xfId="1" applyFont="1" applyFill="1" applyBorder="1" applyAlignment="1">
      <alignment horizontal="center" vertical="center"/>
    </xf>
    <xf numFmtId="0" fontId="1" fillId="13" borderId="4" xfId="1" applyFont="1" applyFill="1" applyBorder="1" applyAlignment="1">
      <alignment horizontal="center" vertical="center"/>
    </xf>
    <xf numFmtId="0" fontId="1" fillId="22" borderId="4" xfId="1" applyFont="1" applyFill="1" applyBorder="1" applyAlignment="1">
      <alignment horizontal="center" vertical="center"/>
    </xf>
    <xf numFmtId="0" fontId="4" fillId="15" borderId="4" xfId="1" applyFont="1" applyFill="1" applyBorder="1" applyAlignment="1">
      <alignment horizontal="center" vertical="center"/>
    </xf>
    <xf numFmtId="0" fontId="4" fillId="18" borderId="4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18" borderId="4" xfId="3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13" borderId="4" xfId="2" applyFont="1" applyFill="1" applyBorder="1" applyAlignment="1">
      <alignment horizontal="center" vertical="center" wrapText="1" readingOrder="2"/>
    </xf>
    <xf numFmtId="0" fontId="4" fillId="15" borderId="4" xfId="0" applyFont="1" applyFill="1" applyBorder="1" applyAlignment="1">
      <alignment horizontal="center" vertical="center"/>
    </xf>
    <xf numFmtId="49" fontId="15" fillId="21" borderId="6" xfId="0" applyNumberFormat="1" applyFont="1" applyFill="1" applyBorder="1" applyAlignment="1">
      <alignment horizontal="center" vertical="center"/>
    </xf>
    <xf numFmtId="0" fontId="37" fillId="0" borderId="0" xfId="0" applyFont="1"/>
    <xf numFmtId="0" fontId="38" fillId="13" borderId="0" xfId="0" applyFont="1" applyFill="1"/>
    <xf numFmtId="0" fontId="38" fillId="0" borderId="0" xfId="0" applyFont="1"/>
    <xf numFmtId="0" fontId="18" fillId="14" borderId="8" xfId="1" applyFont="1" applyFill="1" applyBorder="1" applyAlignment="1">
      <alignment horizontal="center" vertical="center"/>
    </xf>
    <xf numFmtId="0" fontId="18" fillId="14" borderId="9" xfId="1" applyFont="1" applyFill="1" applyBorder="1" applyAlignment="1">
      <alignment horizontal="center" vertical="center"/>
    </xf>
    <xf numFmtId="0" fontId="18" fillId="10" borderId="9" xfId="0" applyFont="1" applyFill="1" applyBorder="1" applyAlignment="1">
      <alignment horizontal="center" vertical="center"/>
    </xf>
    <xf numFmtId="0" fontId="18" fillId="0" borderId="4" xfId="1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49" fontId="18" fillId="0" borderId="4" xfId="1" applyNumberFormat="1" applyFont="1" applyBorder="1" applyAlignment="1">
      <alignment horizontal="center" vertical="center"/>
    </xf>
    <xf numFmtId="2" fontId="18" fillId="0" borderId="7" xfId="0" applyNumberFormat="1" applyFont="1" applyBorder="1" applyAlignment="1">
      <alignment horizontal="center" vertical="center"/>
    </xf>
    <xf numFmtId="2" fontId="18" fillId="0" borderId="4" xfId="0" applyNumberFormat="1" applyFont="1" applyBorder="1" applyAlignment="1">
      <alignment horizontal="center" vertical="center"/>
    </xf>
    <xf numFmtId="49" fontId="9" fillId="23" borderId="4" xfId="1" applyNumberFormat="1" applyFont="1" applyFill="1" applyBorder="1" applyAlignment="1">
      <alignment horizontal="center" vertical="center"/>
    </xf>
    <xf numFmtId="0" fontId="9" fillId="23" borderId="4" xfId="2" applyFont="1" applyFill="1" applyBorder="1" applyAlignment="1">
      <alignment horizontal="center" vertical="center" wrapText="1" readingOrder="2"/>
    </xf>
    <xf numFmtId="0" fontId="6" fillId="8" borderId="4" xfId="1" applyNumberFormat="1" applyFont="1" applyFill="1" applyBorder="1" applyAlignment="1">
      <alignment horizontal="center" vertical="center"/>
    </xf>
    <xf numFmtId="0" fontId="6" fillId="2" borderId="4" xfId="1" applyNumberFormat="1" applyFont="1" applyFill="1" applyBorder="1" applyAlignment="1">
      <alignment horizontal="center" vertical="center"/>
    </xf>
    <xf numFmtId="0" fontId="1" fillId="25" borderId="4" xfId="1" applyNumberFormat="1" applyFont="1" applyFill="1" applyBorder="1" applyAlignment="1">
      <alignment horizontal="center" vertical="center"/>
    </xf>
    <xf numFmtId="0" fontId="6" fillId="25" borderId="4" xfId="1" applyNumberFormat="1" applyFont="1" applyFill="1" applyBorder="1" applyAlignment="1">
      <alignment horizontal="center" vertical="center"/>
    </xf>
    <xf numFmtId="0" fontId="12" fillId="25" borderId="0" xfId="0" applyFont="1" applyFill="1" applyAlignment="1">
      <alignment horizontal="center" vertical="center"/>
    </xf>
    <xf numFmtId="0" fontId="6" fillId="25" borderId="7" xfId="0" applyFont="1" applyFill="1" applyBorder="1" applyAlignment="1">
      <alignment horizontal="center" vertical="center" readingOrder="1"/>
    </xf>
    <xf numFmtId="0" fontId="6" fillId="25" borderId="0" xfId="0" applyFont="1" applyFill="1" applyAlignment="1">
      <alignment vertical="center" readingOrder="1"/>
    </xf>
    <xf numFmtId="0" fontId="6" fillId="25" borderId="0" xfId="0" applyFont="1" applyFill="1" applyAlignment="1">
      <alignment horizontal="center" vertical="center" readingOrder="1"/>
    </xf>
    <xf numFmtId="0" fontId="8" fillId="25" borderId="0" xfId="0" applyFont="1" applyFill="1" applyAlignment="1">
      <alignment horizontal="center" vertical="center"/>
    </xf>
    <xf numFmtId="0" fontId="8" fillId="25" borderId="0" xfId="0" applyFont="1" applyFill="1"/>
    <xf numFmtId="0" fontId="8" fillId="25" borderId="0" xfId="0" applyFont="1" applyFill="1" applyAlignment="1">
      <alignment horizontal="center"/>
    </xf>
    <xf numFmtId="0" fontId="7" fillId="25" borderId="0" xfId="0" applyFont="1" applyFill="1" applyAlignment="1">
      <alignment horizontal="center" vertical="center"/>
    </xf>
    <xf numFmtId="0" fontId="7" fillId="25" borderId="0" xfId="0" applyFont="1" applyFill="1" applyAlignment="1">
      <alignment vertical="center"/>
    </xf>
    <xf numFmtId="0" fontId="6" fillId="25" borderId="4" xfId="6" applyNumberFormat="1" applyFont="1" applyFill="1" applyBorder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5" borderId="0" xfId="0" applyFill="1"/>
    <xf numFmtId="0" fontId="0" fillId="25" borderId="0" xfId="0" applyFill="1" applyAlignment="1">
      <alignment horizontal="center"/>
    </xf>
    <xf numFmtId="49" fontId="9" fillId="24" borderId="4" xfId="1" applyNumberFormat="1" applyFont="1" applyFill="1" applyBorder="1" applyAlignment="1">
      <alignment horizontal="center" vertical="center"/>
    </xf>
    <xf numFmtId="49" fontId="10" fillId="0" borderId="4" xfId="0" applyNumberFormat="1" applyFont="1" applyBorder="1"/>
    <xf numFmtId="0" fontId="4" fillId="18" borderId="4" xfId="2" applyFont="1" applyFill="1" applyBorder="1" applyAlignment="1">
      <alignment horizontal="center" vertical="center" wrapText="1" readingOrder="2"/>
    </xf>
    <xf numFmtId="0" fontId="4" fillId="17" borderId="4" xfId="3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39" fillId="24" borderId="4" xfId="2" applyFont="1" applyFill="1" applyBorder="1" applyAlignment="1">
      <alignment horizontal="center" vertical="center" wrapText="1" readingOrder="2"/>
    </xf>
    <xf numFmtId="0" fontId="9" fillId="24" borderId="4" xfId="2" applyFont="1" applyFill="1" applyBorder="1" applyAlignment="1">
      <alignment horizontal="center" vertical="center" wrapText="1" readingOrder="2"/>
    </xf>
    <xf numFmtId="0" fontId="40" fillId="15" borderId="4" xfId="0" applyFont="1" applyFill="1" applyBorder="1" applyAlignment="1">
      <alignment horizontal="center" vertical="center"/>
    </xf>
    <xf numFmtId="0" fontId="4" fillId="13" borderId="4" xfId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17" borderId="4" xfId="2" applyFont="1" applyFill="1" applyBorder="1" applyAlignment="1">
      <alignment horizontal="center" vertical="center" wrapText="1" readingOrder="2"/>
    </xf>
    <xf numFmtId="0" fontId="4" fillId="9" borderId="4" xfId="0" applyFont="1" applyFill="1" applyBorder="1" applyAlignment="1">
      <alignment horizontal="center" vertical="center"/>
    </xf>
    <xf numFmtId="0" fontId="4" fillId="17" borderId="4" xfId="4" applyFont="1" applyFill="1" applyBorder="1" applyAlignment="1">
      <alignment horizontal="center" vertical="center" wrapText="1" readingOrder="2"/>
    </xf>
    <xf numFmtId="0" fontId="9" fillId="24" borderId="3" xfId="0" applyFont="1" applyFill="1" applyBorder="1" applyAlignment="1">
      <alignment vertical="center"/>
    </xf>
    <xf numFmtId="0" fontId="4" fillId="17" borderId="4" xfId="1" applyFont="1" applyFill="1" applyBorder="1" applyAlignment="1">
      <alignment horizontal="center" vertical="center"/>
    </xf>
    <xf numFmtId="49" fontId="10" fillId="24" borderId="0" xfId="0" applyNumberFormat="1" applyFont="1" applyFill="1"/>
    <xf numFmtId="49" fontId="9" fillId="24" borderId="10" xfId="0" applyNumberFormat="1" applyFont="1" applyFill="1" applyBorder="1" applyAlignment="1">
      <alignment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4" xfId="3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4" xfId="4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/>
    </xf>
    <xf numFmtId="49" fontId="9" fillId="24" borderId="0" xfId="1" applyNumberFormat="1" applyFont="1" applyFill="1" applyBorder="1" applyAlignment="1">
      <alignment horizontal="center" vertical="center"/>
    </xf>
    <xf numFmtId="22" fontId="14" fillId="0" borderId="6" xfId="0" applyNumberFormat="1" applyFont="1" applyFill="1" applyBorder="1" applyAlignment="1">
      <alignment horizontal="left" vertical="center"/>
    </xf>
    <xf numFmtId="20" fontId="0" fillId="0" borderId="0" xfId="0" applyNumberFormat="1" applyFill="1"/>
    <xf numFmtId="0" fontId="0" fillId="0" borderId="0" xfId="0" applyFill="1"/>
    <xf numFmtId="49" fontId="14" fillId="0" borderId="6" xfId="0" applyNumberFormat="1" applyFont="1" applyFill="1" applyBorder="1" applyAlignment="1">
      <alignment horizontal="left" vertical="center"/>
    </xf>
    <xf numFmtId="2" fontId="18" fillId="0" borderId="0" xfId="0" applyNumberFormat="1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8" fillId="12" borderId="4" xfId="0" applyFont="1" applyFill="1" applyBorder="1" applyAlignment="1">
      <alignment horizontal="center" vertical="center"/>
    </xf>
    <xf numFmtId="0" fontId="18" fillId="11" borderId="0" xfId="1" applyFont="1" applyFill="1" applyAlignment="1">
      <alignment horizontal="center" vertical="center"/>
    </xf>
    <xf numFmtId="0" fontId="19" fillId="9" borderId="4" xfId="0" applyFont="1" applyFill="1" applyBorder="1" applyAlignment="1">
      <alignment horizontal="center" vertical="center"/>
    </xf>
  </cellXfs>
  <cellStyles count="7">
    <cellStyle name="Normal" xfId="0" builtinId="0"/>
    <cellStyle name="Normal 2" xfId="5"/>
    <cellStyle name="Normal 2 2" xfId="4"/>
    <cellStyle name="Normal 2 3" xfId="2"/>
    <cellStyle name="Normal 2 4" xfId="3"/>
    <cellStyle name="Normal 5 2" xfId="1"/>
    <cellStyle name="Percent" xfId="6" builtinId="5"/>
  </cellStyles>
  <dxfs count="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3EBF9"/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609600</xdr:colOff>
          <xdr:row>1</xdr:row>
          <xdr:rowOff>0</xdr:rowOff>
        </xdr:from>
        <xdr:to>
          <xdr:col>8</xdr:col>
          <xdr:colOff>95250</xdr:colOff>
          <xdr:row>4</xdr:row>
          <xdr:rowOff>28575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1">
                <a:defRPr sz="1000"/>
              </a:pPr>
              <a:r>
                <a:rPr lang="ar-SA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زر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00"/>
  <sheetViews>
    <sheetView rightToLeft="1" workbookViewId="0">
      <selection sqref="A1:XFD1048576"/>
    </sheetView>
  </sheetViews>
  <sheetFormatPr defaultRowHeight="14.25" x14ac:dyDescent="0.2"/>
  <cols>
    <col min="1" max="1" width="19.75" customWidth="1"/>
    <col min="3" max="3" width="9.125" style="59"/>
    <col min="4" max="4" width="32.75" customWidth="1"/>
    <col min="5" max="5" width="7" customWidth="1"/>
    <col min="6" max="6" width="6.375" customWidth="1"/>
    <col min="7" max="7" width="8.25" customWidth="1"/>
    <col min="8" max="8" width="11.625" customWidth="1"/>
    <col min="9" max="9" width="5.75" customWidth="1"/>
    <col min="10" max="10" width="8.875" customWidth="1"/>
    <col min="11" max="11" width="14.75" customWidth="1"/>
    <col min="257" max="257" width="19.75" customWidth="1"/>
    <col min="260" max="260" width="32.75" customWidth="1"/>
    <col min="261" max="261" width="7" customWidth="1"/>
    <col min="262" max="262" width="6.375" customWidth="1"/>
    <col min="263" max="263" width="8.25" customWidth="1"/>
    <col min="264" max="264" width="11.625" customWidth="1"/>
    <col min="265" max="265" width="5.75" customWidth="1"/>
    <col min="266" max="266" width="8.875" customWidth="1"/>
    <col min="267" max="267" width="14.75" customWidth="1"/>
    <col min="513" max="513" width="19.75" customWidth="1"/>
    <col min="516" max="516" width="32.75" customWidth="1"/>
    <col min="517" max="517" width="7" customWidth="1"/>
    <col min="518" max="518" width="6.375" customWidth="1"/>
    <col min="519" max="519" width="8.25" customWidth="1"/>
    <col min="520" max="520" width="11.625" customWidth="1"/>
    <col min="521" max="521" width="5.75" customWidth="1"/>
    <col min="522" max="522" width="8.875" customWidth="1"/>
    <col min="523" max="523" width="14.75" customWidth="1"/>
    <col min="769" max="769" width="19.75" customWidth="1"/>
    <col min="772" max="772" width="32.75" customWidth="1"/>
    <col min="773" max="773" width="7" customWidth="1"/>
    <col min="774" max="774" width="6.375" customWidth="1"/>
    <col min="775" max="775" width="8.25" customWidth="1"/>
    <col min="776" max="776" width="11.625" customWidth="1"/>
    <col min="777" max="777" width="5.75" customWidth="1"/>
    <col min="778" max="778" width="8.875" customWidth="1"/>
    <col min="779" max="779" width="14.75" customWidth="1"/>
    <col min="1025" max="1025" width="19.75" customWidth="1"/>
    <col min="1028" max="1028" width="32.75" customWidth="1"/>
    <col min="1029" max="1029" width="7" customWidth="1"/>
    <col min="1030" max="1030" width="6.375" customWidth="1"/>
    <col min="1031" max="1031" width="8.25" customWidth="1"/>
    <col min="1032" max="1032" width="11.625" customWidth="1"/>
    <col min="1033" max="1033" width="5.75" customWidth="1"/>
    <col min="1034" max="1034" width="8.875" customWidth="1"/>
    <col min="1035" max="1035" width="14.75" customWidth="1"/>
    <col min="1281" max="1281" width="19.75" customWidth="1"/>
    <col min="1284" max="1284" width="32.75" customWidth="1"/>
    <col min="1285" max="1285" width="7" customWidth="1"/>
    <col min="1286" max="1286" width="6.375" customWidth="1"/>
    <col min="1287" max="1287" width="8.25" customWidth="1"/>
    <col min="1288" max="1288" width="11.625" customWidth="1"/>
    <col min="1289" max="1289" width="5.75" customWidth="1"/>
    <col min="1290" max="1290" width="8.875" customWidth="1"/>
    <col min="1291" max="1291" width="14.75" customWidth="1"/>
    <col min="1537" max="1537" width="19.75" customWidth="1"/>
    <col min="1540" max="1540" width="32.75" customWidth="1"/>
    <col min="1541" max="1541" width="7" customWidth="1"/>
    <col min="1542" max="1542" width="6.375" customWidth="1"/>
    <col min="1543" max="1543" width="8.25" customWidth="1"/>
    <col min="1544" max="1544" width="11.625" customWidth="1"/>
    <col min="1545" max="1545" width="5.75" customWidth="1"/>
    <col min="1546" max="1546" width="8.875" customWidth="1"/>
    <col min="1547" max="1547" width="14.75" customWidth="1"/>
    <col min="1793" max="1793" width="19.75" customWidth="1"/>
    <col min="1796" max="1796" width="32.75" customWidth="1"/>
    <col min="1797" max="1797" width="7" customWidth="1"/>
    <col min="1798" max="1798" width="6.375" customWidth="1"/>
    <col min="1799" max="1799" width="8.25" customWidth="1"/>
    <col min="1800" max="1800" width="11.625" customWidth="1"/>
    <col min="1801" max="1801" width="5.75" customWidth="1"/>
    <col min="1802" max="1802" width="8.875" customWidth="1"/>
    <col min="1803" max="1803" width="14.75" customWidth="1"/>
    <col min="2049" max="2049" width="19.75" customWidth="1"/>
    <col min="2052" max="2052" width="32.75" customWidth="1"/>
    <col min="2053" max="2053" width="7" customWidth="1"/>
    <col min="2054" max="2054" width="6.375" customWidth="1"/>
    <col min="2055" max="2055" width="8.25" customWidth="1"/>
    <col min="2056" max="2056" width="11.625" customWidth="1"/>
    <col min="2057" max="2057" width="5.75" customWidth="1"/>
    <col min="2058" max="2058" width="8.875" customWidth="1"/>
    <col min="2059" max="2059" width="14.75" customWidth="1"/>
    <col min="2305" max="2305" width="19.75" customWidth="1"/>
    <col min="2308" max="2308" width="32.75" customWidth="1"/>
    <col min="2309" max="2309" width="7" customWidth="1"/>
    <col min="2310" max="2310" width="6.375" customWidth="1"/>
    <col min="2311" max="2311" width="8.25" customWidth="1"/>
    <col min="2312" max="2312" width="11.625" customWidth="1"/>
    <col min="2313" max="2313" width="5.75" customWidth="1"/>
    <col min="2314" max="2314" width="8.875" customWidth="1"/>
    <col min="2315" max="2315" width="14.75" customWidth="1"/>
    <col min="2561" max="2561" width="19.75" customWidth="1"/>
    <col min="2564" max="2564" width="32.75" customWidth="1"/>
    <col min="2565" max="2565" width="7" customWidth="1"/>
    <col min="2566" max="2566" width="6.375" customWidth="1"/>
    <col min="2567" max="2567" width="8.25" customWidth="1"/>
    <col min="2568" max="2568" width="11.625" customWidth="1"/>
    <col min="2569" max="2569" width="5.75" customWidth="1"/>
    <col min="2570" max="2570" width="8.875" customWidth="1"/>
    <col min="2571" max="2571" width="14.75" customWidth="1"/>
    <col min="2817" max="2817" width="19.75" customWidth="1"/>
    <col min="2820" max="2820" width="32.75" customWidth="1"/>
    <col min="2821" max="2821" width="7" customWidth="1"/>
    <col min="2822" max="2822" width="6.375" customWidth="1"/>
    <col min="2823" max="2823" width="8.25" customWidth="1"/>
    <col min="2824" max="2824" width="11.625" customWidth="1"/>
    <col min="2825" max="2825" width="5.75" customWidth="1"/>
    <col min="2826" max="2826" width="8.875" customWidth="1"/>
    <col min="2827" max="2827" width="14.75" customWidth="1"/>
    <col min="3073" max="3073" width="19.75" customWidth="1"/>
    <col min="3076" max="3076" width="32.75" customWidth="1"/>
    <col min="3077" max="3077" width="7" customWidth="1"/>
    <col min="3078" max="3078" width="6.375" customWidth="1"/>
    <col min="3079" max="3079" width="8.25" customWidth="1"/>
    <col min="3080" max="3080" width="11.625" customWidth="1"/>
    <col min="3081" max="3081" width="5.75" customWidth="1"/>
    <col min="3082" max="3082" width="8.875" customWidth="1"/>
    <col min="3083" max="3083" width="14.75" customWidth="1"/>
    <col min="3329" max="3329" width="19.75" customWidth="1"/>
    <col min="3332" max="3332" width="32.75" customWidth="1"/>
    <col min="3333" max="3333" width="7" customWidth="1"/>
    <col min="3334" max="3334" width="6.375" customWidth="1"/>
    <col min="3335" max="3335" width="8.25" customWidth="1"/>
    <col min="3336" max="3336" width="11.625" customWidth="1"/>
    <col min="3337" max="3337" width="5.75" customWidth="1"/>
    <col min="3338" max="3338" width="8.875" customWidth="1"/>
    <col min="3339" max="3339" width="14.75" customWidth="1"/>
    <col min="3585" max="3585" width="19.75" customWidth="1"/>
    <col min="3588" max="3588" width="32.75" customWidth="1"/>
    <col min="3589" max="3589" width="7" customWidth="1"/>
    <col min="3590" max="3590" width="6.375" customWidth="1"/>
    <col min="3591" max="3591" width="8.25" customWidth="1"/>
    <col min="3592" max="3592" width="11.625" customWidth="1"/>
    <col min="3593" max="3593" width="5.75" customWidth="1"/>
    <col min="3594" max="3594" width="8.875" customWidth="1"/>
    <col min="3595" max="3595" width="14.75" customWidth="1"/>
    <col min="3841" max="3841" width="19.75" customWidth="1"/>
    <col min="3844" max="3844" width="32.75" customWidth="1"/>
    <col min="3845" max="3845" width="7" customWidth="1"/>
    <col min="3846" max="3846" width="6.375" customWidth="1"/>
    <col min="3847" max="3847" width="8.25" customWidth="1"/>
    <col min="3848" max="3848" width="11.625" customWidth="1"/>
    <col min="3849" max="3849" width="5.75" customWidth="1"/>
    <col min="3850" max="3850" width="8.875" customWidth="1"/>
    <col min="3851" max="3851" width="14.75" customWidth="1"/>
    <col min="4097" max="4097" width="19.75" customWidth="1"/>
    <col min="4100" max="4100" width="32.75" customWidth="1"/>
    <col min="4101" max="4101" width="7" customWidth="1"/>
    <col min="4102" max="4102" width="6.375" customWidth="1"/>
    <col min="4103" max="4103" width="8.25" customWidth="1"/>
    <col min="4104" max="4104" width="11.625" customWidth="1"/>
    <col min="4105" max="4105" width="5.75" customWidth="1"/>
    <col min="4106" max="4106" width="8.875" customWidth="1"/>
    <col min="4107" max="4107" width="14.75" customWidth="1"/>
    <col min="4353" max="4353" width="19.75" customWidth="1"/>
    <col min="4356" max="4356" width="32.75" customWidth="1"/>
    <col min="4357" max="4357" width="7" customWidth="1"/>
    <col min="4358" max="4358" width="6.375" customWidth="1"/>
    <col min="4359" max="4359" width="8.25" customWidth="1"/>
    <col min="4360" max="4360" width="11.625" customWidth="1"/>
    <col min="4361" max="4361" width="5.75" customWidth="1"/>
    <col min="4362" max="4362" width="8.875" customWidth="1"/>
    <col min="4363" max="4363" width="14.75" customWidth="1"/>
    <col min="4609" max="4609" width="19.75" customWidth="1"/>
    <col min="4612" max="4612" width="32.75" customWidth="1"/>
    <col min="4613" max="4613" width="7" customWidth="1"/>
    <col min="4614" max="4614" width="6.375" customWidth="1"/>
    <col min="4615" max="4615" width="8.25" customWidth="1"/>
    <col min="4616" max="4616" width="11.625" customWidth="1"/>
    <col min="4617" max="4617" width="5.75" customWidth="1"/>
    <col min="4618" max="4618" width="8.875" customWidth="1"/>
    <col min="4619" max="4619" width="14.75" customWidth="1"/>
    <col min="4865" max="4865" width="19.75" customWidth="1"/>
    <col min="4868" max="4868" width="32.75" customWidth="1"/>
    <col min="4869" max="4869" width="7" customWidth="1"/>
    <col min="4870" max="4870" width="6.375" customWidth="1"/>
    <col min="4871" max="4871" width="8.25" customWidth="1"/>
    <col min="4872" max="4872" width="11.625" customWidth="1"/>
    <col min="4873" max="4873" width="5.75" customWidth="1"/>
    <col min="4874" max="4874" width="8.875" customWidth="1"/>
    <col min="4875" max="4875" width="14.75" customWidth="1"/>
    <col min="5121" max="5121" width="19.75" customWidth="1"/>
    <col min="5124" max="5124" width="32.75" customWidth="1"/>
    <col min="5125" max="5125" width="7" customWidth="1"/>
    <col min="5126" max="5126" width="6.375" customWidth="1"/>
    <col min="5127" max="5127" width="8.25" customWidth="1"/>
    <col min="5128" max="5128" width="11.625" customWidth="1"/>
    <col min="5129" max="5129" width="5.75" customWidth="1"/>
    <col min="5130" max="5130" width="8.875" customWidth="1"/>
    <col min="5131" max="5131" width="14.75" customWidth="1"/>
    <col min="5377" max="5377" width="19.75" customWidth="1"/>
    <col min="5380" max="5380" width="32.75" customWidth="1"/>
    <col min="5381" max="5381" width="7" customWidth="1"/>
    <col min="5382" max="5382" width="6.375" customWidth="1"/>
    <col min="5383" max="5383" width="8.25" customWidth="1"/>
    <col min="5384" max="5384" width="11.625" customWidth="1"/>
    <col min="5385" max="5385" width="5.75" customWidth="1"/>
    <col min="5386" max="5386" width="8.875" customWidth="1"/>
    <col min="5387" max="5387" width="14.75" customWidth="1"/>
    <col min="5633" max="5633" width="19.75" customWidth="1"/>
    <col min="5636" max="5636" width="32.75" customWidth="1"/>
    <col min="5637" max="5637" width="7" customWidth="1"/>
    <col min="5638" max="5638" width="6.375" customWidth="1"/>
    <col min="5639" max="5639" width="8.25" customWidth="1"/>
    <col min="5640" max="5640" width="11.625" customWidth="1"/>
    <col min="5641" max="5641" width="5.75" customWidth="1"/>
    <col min="5642" max="5642" width="8.875" customWidth="1"/>
    <col min="5643" max="5643" width="14.75" customWidth="1"/>
    <col min="5889" max="5889" width="19.75" customWidth="1"/>
    <col min="5892" max="5892" width="32.75" customWidth="1"/>
    <col min="5893" max="5893" width="7" customWidth="1"/>
    <col min="5894" max="5894" width="6.375" customWidth="1"/>
    <col min="5895" max="5895" width="8.25" customWidth="1"/>
    <col min="5896" max="5896" width="11.625" customWidth="1"/>
    <col min="5897" max="5897" width="5.75" customWidth="1"/>
    <col min="5898" max="5898" width="8.875" customWidth="1"/>
    <col min="5899" max="5899" width="14.75" customWidth="1"/>
    <col min="6145" max="6145" width="19.75" customWidth="1"/>
    <col min="6148" max="6148" width="32.75" customWidth="1"/>
    <col min="6149" max="6149" width="7" customWidth="1"/>
    <col min="6150" max="6150" width="6.375" customWidth="1"/>
    <col min="6151" max="6151" width="8.25" customWidth="1"/>
    <col min="6152" max="6152" width="11.625" customWidth="1"/>
    <col min="6153" max="6153" width="5.75" customWidth="1"/>
    <col min="6154" max="6154" width="8.875" customWidth="1"/>
    <col min="6155" max="6155" width="14.75" customWidth="1"/>
    <col min="6401" max="6401" width="19.75" customWidth="1"/>
    <col min="6404" max="6404" width="32.75" customWidth="1"/>
    <col min="6405" max="6405" width="7" customWidth="1"/>
    <col min="6406" max="6406" width="6.375" customWidth="1"/>
    <col min="6407" max="6407" width="8.25" customWidth="1"/>
    <col min="6408" max="6408" width="11.625" customWidth="1"/>
    <col min="6409" max="6409" width="5.75" customWidth="1"/>
    <col min="6410" max="6410" width="8.875" customWidth="1"/>
    <col min="6411" max="6411" width="14.75" customWidth="1"/>
    <col min="6657" max="6657" width="19.75" customWidth="1"/>
    <col min="6660" max="6660" width="32.75" customWidth="1"/>
    <col min="6661" max="6661" width="7" customWidth="1"/>
    <col min="6662" max="6662" width="6.375" customWidth="1"/>
    <col min="6663" max="6663" width="8.25" customWidth="1"/>
    <col min="6664" max="6664" width="11.625" customWidth="1"/>
    <col min="6665" max="6665" width="5.75" customWidth="1"/>
    <col min="6666" max="6666" width="8.875" customWidth="1"/>
    <col min="6667" max="6667" width="14.75" customWidth="1"/>
    <col min="6913" max="6913" width="19.75" customWidth="1"/>
    <col min="6916" max="6916" width="32.75" customWidth="1"/>
    <col min="6917" max="6917" width="7" customWidth="1"/>
    <col min="6918" max="6918" width="6.375" customWidth="1"/>
    <col min="6919" max="6919" width="8.25" customWidth="1"/>
    <col min="6920" max="6920" width="11.625" customWidth="1"/>
    <col min="6921" max="6921" width="5.75" customWidth="1"/>
    <col min="6922" max="6922" width="8.875" customWidth="1"/>
    <col min="6923" max="6923" width="14.75" customWidth="1"/>
    <col min="7169" max="7169" width="19.75" customWidth="1"/>
    <col min="7172" max="7172" width="32.75" customWidth="1"/>
    <col min="7173" max="7173" width="7" customWidth="1"/>
    <col min="7174" max="7174" width="6.375" customWidth="1"/>
    <col min="7175" max="7175" width="8.25" customWidth="1"/>
    <col min="7176" max="7176" width="11.625" customWidth="1"/>
    <col min="7177" max="7177" width="5.75" customWidth="1"/>
    <col min="7178" max="7178" width="8.875" customWidth="1"/>
    <col min="7179" max="7179" width="14.75" customWidth="1"/>
    <col min="7425" max="7425" width="19.75" customWidth="1"/>
    <col min="7428" max="7428" width="32.75" customWidth="1"/>
    <col min="7429" max="7429" width="7" customWidth="1"/>
    <col min="7430" max="7430" width="6.375" customWidth="1"/>
    <col min="7431" max="7431" width="8.25" customWidth="1"/>
    <col min="7432" max="7432" width="11.625" customWidth="1"/>
    <col min="7433" max="7433" width="5.75" customWidth="1"/>
    <col min="7434" max="7434" width="8.875" customWidth="1"/>
    <col min="7435" max="7435" width="14.75" customWidth="1"/>
    <col min="7681" max="7681" width="19.75" customWidth="1"/>
    <col min="7684" max="7684" width="32.75" customWidth="1"/>
    <col min="7685" max="7685" width="7" customWidth="1"/>
    <col min="7686" max="7686" width="6.375" customWidth="1"/>
    <col min="7687" max="7687" width="8.25" customWidth="1"/>
    <col min="7688" max="7688" width="11.625" customWidth="1"/>
    <col min="7689" max="7689" width="5.75" customWidth="1"/>
    <col min="7690" max="7690" width="8.875" customWidth="1"/>
    <col min="7691" max="7691" width="14.75" customWidth="1"/>
    <col min="7937" max="7937" width="19.75" customWidth="1"/>
    <col min="7940" max="7940" width="32.75" customWidth="1"/>
    <col min="7941" max="7941" width="7" customWidth="1"/>
    <col min="7942" max="7942" width="6.375" customWidth="1"/>
    <col min="7943" max="7943" width="8.25" customWidth="1"/>
    <col min="7944" max="7944" width="11.625" customWidth="1"/>
    <col min="7945" max="7945" width="5.75" customWidth="1"/>
    <col min="7946" max="7946" width="8.875" customWidth="1"/>
    <col min="7947" max="7947" width="14.75" customWidth="1"/>
    <col min="8193" max="8193" width="19.75" customWidth="1"/>
    <col min="8196" max="8196" width="32.75" customWidth="1"/>
    <col min="8197" max="8197" width="7" customWidth="1"/>
    <col min="8198" max="8198" width="6.375" customWidth="1"/>
    <col min="8199" max="8199" width="8.25" customWidth="1"/>
    <col min="8200" max="8200" width="11.625" customWidth="1"/>
    <col min="8201" max="8201" width="5.75" customWidth="1"/>
    <col min="8202" max="8202" width="8.875" customWidth="1"/>
    <col min="8203" max="8203" width="14.75" customWidth="1"/>
    <col min="8449" max="8449" width="19.75" customWidth="1"/>
    <col min="8452" max="8452" width="32.75" customWidth="1"/>
    <col min="8453" max="8453" width="7" customWidth="1"/>
    <col min="8454" max="8454" width="6.375" customWidth="1"/>
    <col min="8455" max="8455" width="8.25" customWidth="1"/>
    <col min="8456" max="8456" width="11.625" customWidth="1"/>
    <col min="8457" max="8457" width="5.75" customWidth="1"/>
    <col min="8458" max="8458" width="8.875" customWidth="1"/>
    <col min="8459" max="8459" width="14.75" customWidth="1"/>
    <col min="8705" max="8705" width="19.75" customWidth="1"/>
    <col min="8708" max="8708" width="32.75" customWidth="1"/>
    <col min="8709" max="8709" width="7" customWidth="1"/>
    <col min="8710" max="8710" width="6.375" customWidth="1"/>
    <col min="8711" max="8711" width="8.25" customWidth="1"/>
    <col min="8712" max="8712" width="11.625" customWidth="1"/>
    <col min="8713" max="8713" width="5.75" customWidth="1"/>
    <col min="8714" max="8714" width="8.875" customWidth="1"/>
    <col min="8715" max="8715" width="14.75" customWidth="1"/>
    <col min="8961" max="8961" width="19.75" customWidth="1"/>
    <col min="8964" max="8964" width="32.75" customWidth="1"/>
    <col min="8965" max="8965" width="7" customWidth="1"/>
    <col min="8966" max="8966" width="6.375" customWidth="1"/>
    <col min="8967" max="8967" width="8.25" customWidth="1"/>
    <col min="8968" max="8968" width="11.625" customWidth="1"/>
    <col min="8969" max="8969" width="5.75" customWidth="1"/>
    <col min="8970" max="8970" width="8.875" customWidth="1"/>
    <col min="8971" max="8971" width="14.75" customWidth="1"/>
    <col min="9217" max="9217" width="19.75" customWidth="1"/>
    <col min="9220" max="9220" width="32.75" customWidth="1"/>
    <col min="9221" max="9221" width="7" customWidth="1"/>
    <col min="9222" max="9222" width="6.375" customWidth="1"/>
    <col min="9223" max="9223" width="8.25" customWidth="1"/>
    <col min="9224" max="9224" width="11.625" customWidth="1"/>
    <col min="9225" max="9225" width="5.75" customWidth="1"/>
    <col min="9226" max="9226" width="8.875" customWidth="1"/>
    <col min="9227" max="9227" width="14.75" customWidth="1"/>
    <col min="9473" max="9473" width="19.75" customWidth="1"/>
    <col min="9476" max="9476" width="32.75" customWidth="1"/>
    <col min="9477" max="9477" width="7" customWidth="1"/>
    <col min="9478" max="9478" width="6.375" customWidth="1"/>
    <col min="9479" max="9479" width="8.25" customWidth="1"/>
    <col min="9480" max="9480" width="11.625" customWidth="1"/>
    <col min="9481" max="9481" width="5.75" customWidth="1"/>
    <col min="9482" max="9482" width="8.875" customWidth="1"/>
    <col min="9483" max="9483" width="14.75" customWidth="1"/>
    <col min="9729" max="9729" width="19.75" customWidth="1"/>
    <col min="9732" max="9732" width="32.75" customWidth="1"/>
    <col min="9733" max="9733" width="7" customWidth="1"/>
    <col min="9734" max="9734" width="6.375" customWidth="1"/>
    <col min="9735" max="9735" width="8.25" customWidth="1"/>
    <col min="9736" max="9736" width="11.625" customWidth="1"/>
    <col min="9737" max="9737" width="5.75" customWidth="1"/>
    <col min="9738" max="9738" width="8.875" customWidth="1"/>
    <col min="9739" max="9739" width="14.75" customWidth="1"/>
    <col min="9985" max="9985" width="19.75" customWidth="1"/>
    <col min="9988" max="9988" width="32.75" customWidth="1"/>
    <col min="9989" max="9989" width="7" customWidth="1"/>
    <col min="9990" max="9990" width="6.375" customWidth="1"/>
    <col min="9991" max="9991" width="8.25" customWidth="1"/>
    <col min="9992" max="9992" width="11.625" customWidth="1"/>
    <col min="9993" max="9993" width="5.75" customWidth="1"/>
    <col min="9994" max="9994" width="8.875" customWidth="1"/>
    <col min="9995" max="9995" width="14.75" customWidth="1"/>
    <col min="10241" max="10241" width="19.75" customWidth="1"/>
    <col min="10244" max="10244" width="32.75" customWidth="1"/>
    <col min="10245" max="10245" width="7" customWidth="1"/>
    <col min="10246" max="10246" width="6.375" customWidth="1"/>
    <col min="10247" max="10247" width="8.25" customWidth="1"/>
    <col min="10248" max="10248" width="11.625" customWidth="1"/>
    <col min="10249" max="10249" width="5.75" customWidth="1"/>
    <col min="10250" max="10250" width="8.875" customWidth="1"/>
    <col min="10251" max="10251" width="14.75" customWidth="1"/>
    <col min="10497" max="10497" width="19.75" customWidth="1"/>
    <col min="10500" max="10500" width="32.75" customWidth="1"/>
    <col min="10501" max="10501" width="7" customWidth="1"/>
    <col min="10502" max="10502" width="6.375" customWidth="1"/>
    <col min="10503" max="10503" width="8.25" customWidth="1"/>
    <col min="10504" max="10504" width="11.625" customWidth="1"/>
    <col min="10505" max="10505" width="5.75" customWidth="1"/>
    <col min="10506" max="10506" width="8.875" customWidth="1"/>
    <col min="10507" max="10507" width="14.75" customWidth="1"/>
    <col min="10753" max="10753" width="19.75" customWidth="1"/>
    <col min="10756" max="10756" width="32.75" customWidth="1"/>
    <col min="10757" max="10757" width="7" customWidth="1"/>
    <col min="10758" max="10758" width="6.375" customWidth="1"/>
    <col min="10759" max="10759" width="8.25" customWidth="1"/>
    <col min="10760" max="10760" width="11.625" customWidth="1"/>
    <col min="10761" max="10761" width="5.75" customWidth="1"/>
    <col min="10762" max="10762" width="8.875" customWidth="1"/>
    <col min="10763" max="10763" width="14.75" customWidth="1"/>
    <col min="11009" max="11009" width="19.75" customWidth="1"/>
    <col min="11012" max="11012" width="32.75" customWidth="1"/>
    <col min="11013" max="11013" width="7" customWidth="1"/>
    <col min="11014" max="11014" width="6.375" customWidth="1"/>
    <col min="11015" max="11015" width="8.25" customWidth="1"/>
    <col min="11016" max="11016" width="11.625" customWidth="1"/>
    <col min="11017" max="11017" width="5.75" customWidth="1"/>
    <col min="11018" max="11018" width="8.875" customWidth="1"/>
    <col min="11019" max="11019" width="14.75" customWidth="1"/>
    <col min="11265" max="11265" width="19.75" customWidth="1"/>
    <col min="11268" max="11268" width="32.75" customWidth="1"/>
    <col min="11269" max="11269" width="7" customWidth="1"/>
    <col min="11270" max="11270" width="6.375" customWidth="1"/>
    <col min="11271" max="11271" width="8.25" customWidth="1"/>
    <col min="11272" max="11272" width="11.625" customWidth="1"/>
    <col min="11273" max="11273" width="5.75" customWidth="1"/>
    <col min="11274" max="11274" width="8.875" customWidth="1"/>
    <col min="11275" max="11275" width="14.75" customWidth="1"/>
    <col min="11521" max="11521" width="19.75" customWidth="1"/>
    <col min="11524" max="11524" width="32.75" customWidth="1"/>
    <col min="11525" max="11525" width="7" customWidth="1"/>
    <col min="11526" max="11526" width="6.375" customWidth="1"/>
    <col min="11527" max="11527" width="8.25" customWidth="1"/>
    <col min="11528" max="11528" width="11.625" customWidth="1"/>
    <col min="11529" max="11529" width="5.75" customWidth="1"/>
    <col min="11530" max="11530" width="8.875" customWidth="1"/>
    <col min="11531" max="11531" width="14.75" customWidth="1"/>
    <col min="11777" max="11777" width="19.75" customWidth="1"/>
    <col min="11780" max="11780" width="32.75" customWidth="1"/>
    <col min="11781" max="11781" width="7" customWidth="1"/>
    <col min="11782" max="11782" width="6.375" customWidth="1"/>
    <col min="11783" max="11783" width="8.25" customWidth="1"/>
    <col min="11784" max="11784" width="11.625" customWidth="1"/>
    <col min="11785" max="11785" width="5.75" customWidth="1"/>
    <col min="11786" max="11786" width="8.875" customWidth="1"/>
    <col min="11787" max="11787" width="14.75" customWidth="1"/>
    <col min="12033" max="12033" width="19.75" customWidth="1"/>
    <col min="12036" max="12036" width="32.75" customWidth="1"/>
    <col min="12037" max="12037" width="7" customWidth="1"/>
    <col min="12038" max="12038" width="6.375" customWidth="1"/>
    <col min="12039" max="12039" width="8.25" customWidth="1"/>
    <col min="12040" max="12040" width="11.625" customWidth="1"/>
    <col min="12041" max="12041" width="5.75" customWidth="1"/>
    <col min="12042" max="12042" width="8.875" customWidth="1"/>
    <col min="12043" max="12043" width="14.75" customWidth="1"/>
    <col min="12289" max="12289" width="19.75" customWidth="1"/>
    <col min="12292" max="12292" width="32.75" customWidth="1"/>
    <col min="12293" max="12293" width="7" customWidth="1"/>
    <col min="12294" max="12294" width="6.375" customWidth="1"/>
    <col min="12295" max="12295" width="8.25" customWidth="1"/>
    <col min="12296" max="12296" width="11.625" customWidth="1"/>
    <col min="12297" max="12297" width="5.75" customWidth="1"/>
    <col min="12298" max="12298" width="8.875" customWidth="1"/>
    <col min="12299" max="12299" width="14.75" customWidth="1"/>
    <col min="12545" max="12545" width="19.75" customWidth="1"/>
    <col min="12548" max="12548" width="32.75" customWidth="1"/>
    <col min="12549" max="12549" width="7" customWidth="1"/>
    <col min="12550" max="12550" width="6.375" customWidth="1"/>
    <col min="12551" max="12551" width="8.25" customWidth="1"/>
    <col min="12552" max="12552" width="11.625" customWidth="1"/>
    <col min="12553" max="12553" width="5.75" customWidth="1"/>
    <col min="12554" max="12554" width="8.875" customWidth="1"/>
    <col min="12555" max="12555" width="14.75" customWidth="1"/>
    <col min="12801" max="12801" width="19.75" customWidth="1"/>
    <col min="12804" max="12804" width="32.75" customWidth="1"/>
    <col min="12805" max="12805" width="7" customWidth="1"/>
    <col min="12806" max="12806" width="6.375" customWidth="1"/>
    <col min="12807" max="12807" width="8.25" customWidth="1"/>
    <col min="12808" max="12808" width="11.625" customWidth="1"/>
    <col min="12809" max="12809" width="5.75" customWidth="1"/>
    <col min="12810" max="12810" width="8.875" customWidth="1"/>
    <col min="12811" max="12811" width="14.75" customWidth="1"/>
    <col min="13057" max="13057" width="19.75" customWidth="1"/>
    <col min="13060" max="13060" width="32.75" customWidth="1"/>
    <col min="13061" max="13061" width="7" customWidth="1"/>
    <col min="13062" max="13062" width="6.375" customWidth="1"/>
    <col min="13063" max="13063" width="8.25" customWidth="1"/>
    <col min="13064" max="13064" width="11.625" customWidth="1"/>
    <col min="13065" max="13065" width="5.75" customWidth="1"/>
    <col min="13066" max="13066" width="8.875" customWidth="1"/>
    <col min="13067" max="13067" width="14.75" customWidth="1"/>
    <col min="13313" max="13313" width="19.75" customWidth="1"/>
    <col min="13316" max="13316" width="32.75" customWidth="1"/>
    <col min="13317" max="13317" width="7" customWidth="1"/>
    <col min="13318" max="13318" width="6.375" customWidth="1"/>
    <col min="13319" max="13319" width="8.25" customWidth="1"/>
    <col min="13320" max="13320" width="11.625" customWidth="1"/>
    <col min="13321" max="13321" width="5.75" customWidth="1"/>
    <col min="13322" max="13322" width="8.875" customWidth="1"/>
    <col min="13323" max="13323" width="14.75" customWidth="1"/>
    <col min="13569" max="13569" width="19.75" customWidth="1"/>
    <col min="13572" max="13572" width="32.75" customWidth="1"/>
    <col min="13573" max="13573" width="7" customWidth="1"/>
    <col min="13574" max="13574" width="6.375" customWidth="1"/>
    <col min="13575" max="13575" width="8.25" customWidth="1"/>
    <col min="13576" max="13576" width="11.625" customWidth="1"/>
    <col min="13577" max="13577" width="5.75" customWidth="1"/>
    <col min="13578" max="13578" width="8.875" customWidth="1"/>
    <col min="13579" max="13579" width="14.75" customWidth="1"/>
    <col min="13825" max="13825" width="19.75" customWidth="1"/>
    <col min="13828" max="13828" width="32.75" customWidth="1"/>
    <col min="13829" max="13829" width="7" customWidth="1"/>
    <col min="13830" max="13830" width="6.375" customWidth="1"/>
    <col min="13831" max="13831" width="8.25" customWidth="1"/>
    <col min="13832" max="13832" width="11.625" customWidth="1"/>
    <col min="13833" max="13833" width="5.75" customWidth="1"/>
    <col min="13834" max="13834" width="8.875" customWidth="1"/>
    <col min="13835" max="13835" width="14.75" customWidth="1"/>
    <col min="14081" max="14081" width="19.75" customWidth="1"/>
    <col min="14084" max="14084" width="32.75" customWidth="1"/>
    <col min="14085" max="14085" width="7" customWidth="1"/>
    <col min="14086" max="14086" width="6.375" customWidth="1"/>
    <col min="14087" max="14087" width="8.25" customWidth="1"/>
    <col min="14088" max="14088" width="11.625" customWidth="1"/>
    <col min="14089" max="14089" width="5.75" customWidth="1"/>
    <col min="14090" max="14090" width="8.875" customWidth="1"/>
    <col min="14091" max="14091" width="14.75" customWidth="1"/>
    <col min="14337" max="14337" width="19.75" customWidth="1"/>
    <col min="14340" max="14340" width="32.75" customWidth="1"/>
    <col min="14341" max="14341" width="7" customWidth="1"/>
    <col min="14342" max="14342" width="6.375" customWidth="1"/>
    <col min="14343" max="14343" width="8.25" customWidth="1"/>
    <col min="14344" max="14344" width="11.625" customWidth="1"/>
    <col min="14345" max="14345" width="5.75" customWidth="1"/>
    <col min="14346" max="14346" width="8.875" customWidth="1"/>
    <col min="14347" max="14347" width="14.75" customWidth="1"/>
    <col min="14593" max="14593" width="19.75" customWidth="1"/>
    <col min="14596" max="14596" width="32.75" customWidth="1"/>
    <col min="14597" max="14597" width="7" customWidth="1"/>
    <col min="14598" max="14598" width="6.375" customWidth="1"/>
    <col min="14599" max="14599" width="8.25" customWidth="1"/>
    <col min="14600" max="14600" width="11.625" customWidth="1"/>
    <col min="14601" max="14601" width="5.75" customWidth="1"/>
    <col min="14602" max="14602" width="8.875" customWidth="1"/>
    <col min="14603" max="14603" width="14.75" customWidth="1"/>
    <col min="14849" max="14849" width="19.75" customWidth="1"/>
    <col min="14852" max="14852" width="32.75" customWidth="1"/>
    <col min="14853" max="14853" width="7" customWidth="1"/>
    <col min="14854" max="14854" width="6.375" customWidth="1"/>
    <col min="14855" max="14855" width="8.25" customWidth="1"/>
    <col min="14856" max="14856" width="11.625" customWidth="1"/>
    <col min="14857" max="14857" width="5.75" customWidth="1"/>
    <col min="14858" max="14858" width="8.875" customWidth="1"/>
    <col min="14859" max="14859" width="14.75" customWidth="1"/>
    <col min="15105" max="15105" width="19.75" customWidth="1"/>
    <col min="15108" max="15108" width="32.75" customWidth="1"/>
    <col min="15109" max="15109" width="7" customWidth="1"/>
    <col min="15110" max="15110" width="6.375" customWidth="1"/>
    <col min="15111" max="15111" width="8.25" customWidth="1"/>
    <col min="15112" max="15112" width="11.625" customWidth="1"/>
    <col min="15113" max="15113" width="5.75" customWidth="1"/>
    <col min="15114" max="15114" width="8.875" customWidth="1"/>
    <col min="15115" max="15115" width="14.75" customWidth="1"/>
    <col min="15361" max="15361" width="19.75" customWidth="1"/>
    <col min="15364" max="15364" width="32.75" customWidth="1"/>
    <col min="15365" max="15365" width="7" customWidth="1"/>
    <col min="15366" max="15366" width="6.375" customWidth="1"/>
    <col min="15367" max="15367" width="8.25" customWidth="1"/>
    <col min="15368" max="15368" width="11.625" customWidth="1"/>
    <col min="15369" max="15369" width="5.75" customWidth="1"/>
    <col min="15370" max="15370" width="8.875" customWidth="1"/>
    <col min="15371" max="15371" width="14.75" customWidth="1"/>
    <col min="15617" max="15617" width="19.75" customWidth="1"/>
    <col min="15620" max="15620" width="32.75" customWidth="1"/>
    <col min="15621" max="15621" width="7" customWidth="1"/>
    <col min="15622" max="15622" width="6.375" customWidth="1"/>
    <col min="15623" max="15623" width="8.25" customWidth="1"/>
    <col min="15624" max="15624" width="11.625" customWidth="1"/>
    <col min="15625" max="15625" width="5.75" customWidth="1"/>
    <col min="15626" max="15626" width="8.875" customWidth="1"/>
    <col min="15627" max="15627" width="14.75" customWidth="1"/>
    <col min="15873" max="15873" width="19.75" customWidth="1"/>
    <col min="15876" max="15876" width="32.75" customWidth="1"/>
    <col min="15877" max="15877" width="7" customWidth="1"/>
    <col min="15878" max="15878" width="6.375" customWidth="1"/>
    <col min="15879" max="15879" width="8.25" customWidth="1"/>
    <col min="15880" max="15880" width="11.625" customWidth="1"/>
    <col min="15881" max="15881" width="5.75" customWidth="1"/>
    <col min="15882" max="15882" width="8.875" customWidth="1"/>
    <col min="15883" max="15883" width="14.75" customWidth="1"/>
    <col min="16129" max="16129" width="19.75" customWidth="1"/>
    <col min="16132" max="16132" width="32.75" customWidth="1"/>
    <col min="16133" max="16133" width="7" customWidth="1"/>
    <col min="16134" max="16134" width="6.375" customWidth="1"/>
    <col min="16135" max="16135" width="8.25" customWidth="1"/>
    <col min="16136" max="16136" width="11.625" customWidth="1"/>
    <col min="16137" max="16137" width="5.75" customWidth="1"/>
    <col min="16138" max="16138" width="8.875" customWidth="1"/>
    <col min="16139" max="16139" width="14.75" customWidth="1"/>
  </cols>
  <sheetData>
    <row r="1" spans="1:11" ht="12.95" customHeight="1" x14ac:dyDescent="0.2">
      <c r="A1" s="130" t="s">
        <v>664</v>
      </c>
      <c r="D1" s="130" t="s">
        <v>665</v>
      </c>
      <c r="E1" s="130" t="s">
        <v>666</v>
      </c>
      <c r="F1" s="130" t="s">
        <v>667</v>
      </c>
      <c r="G1" s="130"/>
      <c r="H1" s="130"/>
      <c r="I1" s="130"/>
      <c r="J1" s="130"/>
      <c r="K1" s="130"/>
    </row>
    <row r="2" spans="1:11" s="188" customFormat="1" ht="15.95" customHeight="1" x14ac:dyDescent="0.2">
      <c r="A2" s="186">
        <v>46124</v>
      </c>
      <c r="B2" s="187">
        <v>0.66666666666666663</v>
      </c>
      <c r="C2" s="192"/>
      <c r="D2" s="189" t="s">
        <v>5</v>
      </c>
      <c r="E2" s="189" t="s">
        <v>645</v>
      </c>
      <c r="F2" s="189" t="s">
        <v>672</v>
      </c>
      <c r="G2" s="189"/>
      <c r="H2" s="189"/>
      <c r="I2" s="189"/>
      <c r="J2" s="189"/>
      <c r="K2" s="189"/>
    </row>
    <row r="3" spans="1:11" s="188" customFormat="1" ht="15.95" customHeight="1" x14ac:dyDescent="0.2">
      <c r="A3" s="186">
        <v>46124</v>
      </c>
      <c r="B3" s="187">
        <v>0.33333333333333331</v>
      </c>
      <c r="C3" s="192">
        <f>(B2-B3)/TIME(8,0,0)</f>
        <v>1</v>
      </c>
      <c r="D3" s="189" t="s">
        <v>5</v>
      </c>
      <c r="E3" s="189" t="s">
        <v>645</v>
      </c>
      <c r="F3" s="189" t="s">
        <v>672</v>
      </c>
      <c r="G3" s="189"/>
      <c r="H3" s="189"/>
      <c r="I3" s="189"/>
      <c r="J3" s="189"/>
      <c r="K3" s="189"/>
    </row>
    <row r="4" spans="1:11" s="188" customFormat="1" ht="15.95" customHeight="1" x14ac:dyDescent="0.2">
      <c r="A4" s="186">
        <v>46124</v>
      </c>
      <c r="B4" s="187">
        <v>0.66666666666666663</v>
      </c>
      <c r="C4" s="192"/>
      <c r="D4" s="189" t="s">
        <v>9</v>
      </c>
      <c r="E4" s="189" t="s">
        <v>332</v>
      </c>
      <c r="F4" s="189" t="s">
        <v>672</v>
      </c>
      <c r="G4" s="189"/>
      <c r="H4" s="189"/>
      <c r="I4" s="189"/>
      <c r="J4" s="189"/>
      <c r="K4" s="189"/>
    </row>
    <row r="5" spans="1:11" s="188" customFormat="1" ht="15.95" customHeight="1" x14ac:dyDescent="0.2">
      <c r="A5" s="186">
        <v>46124</v>
      </c>
      <c r="B5" s="187">
        <v>0.33333333333333331</v>
      </c>
      <c r="C5" s="192">
        <f t="shared" ref="C5:C67" si="0">(B4-B5)/TIME(8,0,0)</f>
        <v>1</v>
      </c>
      <c r="D5" s="189" t="s">
        <v>9</v>
      </c>
      <c r="E5" s="189" t="s">
        <v>332</v>
      </c>
      <c r="F5" s="189" t="s">
        <v>672</v>
      </c>
      <c r="G5" s="189"/>
      <c r="H5" s="189"/>
      <c r="I5" s="189"/>
      <c r="J5" s="189"/>
      <c r="K5" s="189"/>
    </row>
    <row r="6" spans="1:11" s="188" customFormat="1" ht="15.95" customHeight="1" x14ac:dyDescent="0.2">
      <c r="A6" s="186">
        <v>46124</v>
      </c>
      <c r="B6" s="187">
        <v>0.98958333333333337</v>
      </c>
      <c r="C6" s="192"/>
      <c r="D6" s="189" t="s">
        <v>319</v>
      </c>
      <c r="E6" s="189" t="s">
        <v>630</v>
      </c>
      <c r="F6" s="189" t="s">
        <v>797</v>
      </c>
      <c r="G6" s="189"/>
      <c r="H6" s="189"/>
      <c r="I6" s="189"/>
      <c r="J6" s="189"/>
      <c r="K6" s="189"/>
    </row>
    <row r="7" spans="1:11" s="188" customFormat="1" ht="15.95" customHeight="1" x14ac:dyDescent="0.2">
      <c r="A7" s="186">
        <v>46124</v>
      </c>
      <c r="B7" s="187">
        <v>0.65625</v>
      </c>
      <c r="C7" s="192">
        <f t="shared" si="0"/>
        <v>1.0000000000000002</v>
      </c>
      <c r="D7" s="189" t="s">
        <v>319</v>
      </c>
      <c r="E7" s="189" t="s">
        <v>630</v>
      </c>
      <c r="F7" s="189" t="s">
        <v>797</v>
      </c>
      <c r="G7" s="189"/>
      <c r="H7" s="189"/>
      <c r="I7" s="189"/>
      <c r="J7" s="189"/>
      <c r="K7" s="189"/>
    </row>
    <row r="8" spans="1:11" s="188" customFormat="1" ht="15.95" customHeight="1" x14ac:dyDescent="0.2">
      <c r="A8" s="186">
        <v>46124</v>
      </c>
      <c r="B8" s="187">
        <v>0.66666666666666663</v>
      </c>
      <c r="C8" s="192"/>
      <c r="D8" s="189" t="s">
        <v>842</v>
      </c>
      <c r="E8" s="189" t="s">
        <v>572</v>
      </c>
      <c r="F8" s="189" t="s">
        <v>766</v>
      </c>
      <c r="G8" s="189"/>
      <c r="H8" s="189"/>
      <c r="I8" s="189"/>
      <c r="J8" s="189"/>
      <c r="K8" s="189"/>
    </row>
    <row r="9" spans="1:11" s="188" customFormat="1" ht="15.95" customHeight="1" x14ac:dyDescent="0.2">
      <c r="A9" s="186">
        <v>46124</v>
      </c>
      <c r="B9" s="187">
        <v>0.33333333333333331</v>
      </c>
      <c r="C9" s="192">
        <f t="shared" si="0"/>
        <v>1</v>
      </c>
      <c r="D9" s="189" t="s">
        <v>842</v>
      </c>
      <c r="E9" s="189" t="s">
        <v>572</v>
      </c>
      <c r="F9" s="189" t="s">
        <v>766</v>
      </c>
      <c r="G9" s="189"/>
      <c r="H9" s="189"/>
      <c r="I9" s="189"/>
      <c r="J9" s="189"/>
      <c r="K9" s="189"/>
    </row>
    <row r="10" spans="1:11" s="188" customFormat="1" ht="15.95" customHeight="1" x14ac:dyDescent="0.2">
      <c r="A10" s="186">
        <v>46124</v>
      </c>
      <c r="B10" s="187">
        <v>0.66666666666666663</v>
      </c>
      <c r="C10" s="192"/>
      <c r="D10" s="189" t="s">
        <v>170</v>
      </c>
      <c r="E10" s="189" t="s">
        <v>487</v>
      </c>
      <c r="F10" s="189" t="s">
        <v>765</v>
      </c>
      <c r="G10" s="189"/>
      <c r="H10" s="189"/>
      <c r="I10" s="189"/>
      <c r="J10" s="189"/>
      <c r="K10" s="189"/>
    </row>
    <row r="11" spans="1:11" s="188" customFormat="1" ht="15.95" customHeight="1" x14ac:dyDescent="0.2">
      <c r="A11" s="186">
        <v>46124</v>
      </c>
      <c r="B11" s="187">
        <v>0.33333333333333331</v>
      </c>
      <c r="C11" s="192">
        <f t="shared" si="0"/>
        <v>1</v>
      </c>
      <c r="D11" s="189" t="s">
        <v>170</v>
      </c>
      <c r="E11" s="189" t="s">
        <v>487</v>
      </c>
      <c r="F11" s="189" t="s">
        <v>765</v>
      </c>
      <c r="G11" s="189"/>
      <c r="H11" s="189"/>
      <c r="I11" s="189"/>
      <c r="J11" s="189"/>
      <c r="K11" s="189"/>
    </row>
    <row r="12" spans="1:11" s="188" customFormat="1" ht="15.95" customHeight="1" x14ac:dyDescent="0.2">
      <c r="A12" s="186">
        <v>46124</v>
      </c>
      <c r="B12" s="187">
        <v>0.98958333333333337</v>
      </c>
      <c r="C12" s="192"/>
      <c r="D12" s="189" t="s">
        <v>299</v>
      </c>
      <c r="E12" s="189" t="s">
        <v>609</v>
      </c>
      <c r="F12" s="189" t="s">
        <v>180</v>
      </c>
      <c r="G12" s="187">
        <v>0.65625</v>
      </c>
      <c r="H12" s="192"/>
      <c r="I12" s="189"/>
      <c r="J12" s="189"/>
      <c r="K12" s="189"/>
    </row>
    <row r="13" spans="1:11" s="188" customFormat="1" ht="15.95" customHeight="1" x14ac:dyDescent="0.2">
      <c r="A13" s="186">
        <v>46124</v>
      </c>
      <c r="B13" s="187">
        <v>0.65625</v>
      </c>
      <c r="C13" s="192">
        <f t="shared" si="0"/>
        <v>1.0000000000000002</v>
      </c>
      <c r="D13" s="189" t="s">
        <v>299</v>
      </c>
      <c r="E13" s="189" t="s">
        <v>609</v>
      </c>
      <c r="F13" s="189" t="s">
        <v>180</v>
      </c>
      <c r="G13" s="187">
        <v>0.33333333333333331</v>
      </c>
      <c r="H13" s="192">
        <f>(G12-G13)/TIME(1,0,0)</f>
        <v>7.7500000000000009</v>
      </c>
      <c r="I13" s="189"/>
      <c r="J13" s="189"/>
      <c r="K13" s="189"/>
    </row>
    <row r="14" spans="1:11" s="188" customFormat="1" ht="15.95" customHeight="1" x14ac:dyDescent="0.2">
      <c r="A14" s="186">
        <v>46124</v>
      </c>
      <c r="B14" s="187">
        <v>0.66666666666666663</v>
      </c>
      <c r="C14" s="192"/>
      <c r="D14" s="189" t="s">
        <v>256</v>
      </c>
      <c r="E14" s="189" t="s">
        <v>568</v>
      </c>
      <c r="F14" s="189" t="s">
        <v>766</v>
      </c>
      <c r="G14" s="189"/>
      <c r="H14" s="192">
        <f t="shared" ref="H14:H77" si="1">(G13-G14)/TIME(1,0,0)</f>
        <v>8</v>
      </c>
      <c r="I14" s="189"/>
      <c r="J14" s="189"/>
      <c r="K14" s="189"/>
    </row>
    <row r="15" spans="1:11" s="188" customFormat="1" ht="15.95" customHeight="1" x14ac:dyDescent="0.2">
      <c r="A15" s="186">
        <v>46124</v>
      </c>
      <c r="B15" s="187">
        <v>0.33333333333333331</v>
      </c>
      <c r="C15" s="192">
        <f t="shared" si="0"/>
        <v>1</v>
      </c>
      <c r="D15" s="189" t="s">
        <v>256</v>
      </c>
      <c r="E15" s="189" t="s">
        <v>568</v>
      </c>
      <c r="F15" s="189" t="s">
        <v>766</v>
      </c>
      <c r="G15" s="189"/>
      <c r="H15" s="192">
        <f t="shared" si="1"/>
        <v>0</v>
      </c>
      <c r="I15" s="189"/>
      <c r="J15" s="189"/>
      <c r="K15" s="189"/>
    </row>
    <row r="16" spans="1:11" s="188" customFormat="1" ht="15.95" customHeight="1" x14ac:dyDescent="0.2">
      <c r="A16" s="186">
        <v>46124</v>
      </c>
      <c r="B16" s="187">
        <v>0.34791666666666665</v>
      </c>
      <c r="C16" s="192"/>
      <c r="D16" s="189" t="s">
        <v>69</v>
      </c>
      <c r="E16" s="189" t="s">
        <v>391</v>
      </c>
      <c r="F16" s="189" t="s">
        <v>778</v>
      </c>
      <c r="G16" s="189"/>
      <c r="H16" s="192">
        <f t="shared" si="1"/>
        <v>0</v>
      </c>
      <c r="I16" s="189"/>
      <c r="J16" s="189"/>
      <c r="K16" s="189"/>
    </row>
    <row r="17" spans="1:11" s="188" customFormat="1" ht="15.95" customHeight="1" x14ac:dyDescent="0.2">
      <c r="A17" s="186">
        <v>46124</v>
      </c>
      <c r="B17" s="187">
        <v>0.33333333333333331</v>
      </c>
      <c r="C17" s="192">
        <v>0.04</v>
      </c>
      <c r="D17" s="189" t="s">
        <v>69</v>
      </c>
      <c r="E17" s="189" t="s">
        <v>391</v>
      </c>
      <c r="F17" s="189" t="s">
        <v>778</v>
      </c>
      <c r="G17" s="189"/>
      <c r="H17" s="192">
        <f t="shared" si="1"/>
        <v>0</v>
      </c>
      <c r="I17" s="189"/>
      <c r="J17" s="189"/>
      <c r="K17" s="189"/>
    </row>
    <row r="18" spans="1:11" s="188" customFormat="1" ht="15.95" customHeight="1" x14ac:dyDescent="0.2">
      <c r="A18" s="186">
        <v>46124</v>
      </c>
      <c r="B18" s="187">
        <v>0.6791666666666667</v>
      </c>
      <c r="C18" s="192"/>
      <c r="D18" s="189" t="s">
        <v>209</v>
      </c>
      <c r="E18" s="189" t="s">
        <v>524</v>
      </c>
      <c r="F18" s="189" t="s">
        <v>232</v>
      </c>
      <c r="G18" s="187">
        <v>0.72083333333333333</v>
      </c>
      <c r="H18" s="192">
        <f t="shared" si="1"/>
        <v>-17.3</v>
      </c>
      <c r="I18" s="189"/>
      <c r="J18" s="189"/>
      <c r="K18" s="189"/>
    </row>
    <row r="19" spans="1:11" s="188" customFormat="1" ht="15.95" customHeight="1" x14ac:dyDescent="0.2">
      <c r="A19" s="186">
        <v>46124</v>
      </c>
      <c r="B19" s="187">
        <v>0.34583333333333333</v>
      </c>
      <c r="C19" s="192">
        <f t="shared" si="0"/>
        <v>1.0000000000000002</v>
      </c>
      <c r="D19" s="189" t="s">
        <v>209</v>
      </c>
      <c r="E19" s="189" t="s">
        <v>524</v>
      </c>
      <c r="F19" s="189" t="s">
        <v>232</v>
      </c>
      <c r="G19" s="187">
        <v>0.6791666666666667</v>
      </c>
      <c r="H19" s="192">
        <f t="shared" si="1"/>
        <v>0.99999999999999911</v>
      </c>
      <c r="I19" s="189"/>
      <c r="J19" s="189"/>
      <c r="K19" s="189"/>
    </row>
    <row r="20" spans="1:11" s="188" customFormat="1" ht="15.95" customHeight="1" x14ac:dyDescent="0.2">
      <c r="A20" s="186">
        <v>46124</v>
      </c>
      <c r="B20" s="187">
        <v>0.66666666666666663</v>
      </c>
      <c r="C20" s="192"/>
      <c r="D20" s="189" t="s">
        <v>70</v>
      </c>
      <c r="E20" s="189" t="s">
        <v>392</v>
      </c>
      <c r="F20" s="189" t="s">
        <v>767</v>
      </c>
      <c r="G20" s="189"/>
      <c r="H20" s="192">
        <f t="shared" si="1"/>
        <v>16.3</v>
      </c>
      <c r="I20" s="189"/>
      <c r="J20" s="189"/>
      <c r="K20" s="189"/>
    </row>
    <row r="21" spans="1:11" s="188" customFormat="1" ht="15.95" customHeight="1" x14ac:dyDescent="0.2">
      <c r="A21" s="186">
        <v>46124</v>
      </c>
      <c r="B21" s="187">
        <v>0.33333333333333331</v>
      </c>
      <c r="C21" s="192">
        <f t="shared" si="0"/>
        <v>1</v>
      </c>
      <c r="D21" s="189" t="s">
        <v>70</v>
      </c>
      <c r="E21" s="189" t="s">
        <v>392</v>
      </c>
      <c r="F21" s="189" t="s">
        <v>767</v>
      </c>
      <c r="G21" s="189"/>
      <c r="H21" s="192">
        <f t="shared" si="1"/>
        <v>0</v>
      </c>
      <c r="I21" s="189"/>
      <c r="J21" s="189"/>
      <c r="K21" s="189"/>
    </row>
    <row r="22" spans="1:11" s="188" customFormat="1" ht="15.95" customHeight="1" x14ac:dyDescent="0.2">
      <c r="A22" s="186">
        <v>46124</v>
      </c>
      <c r="B22" s="187">
        <v>0.66666666666666663</v>
      </c>
      <c r="C22" s="192"/>
      <c r="D22" s="189" t="s">
        <v>276</v>
      </c>
      <c r="E22" s="189" t="s">
        <v>584</v>
      </c>
      <c r="F22" s="189" t="s">
        <v>155</v>
      </c>
      <c r="G22" s="189"/>
      <c r="H22" s="192">
        <f t="shared" si="1"/>
        <v>0</v>
      </c>
      <c r="I22" s="189"/>
      <c r="J22" s="189"/>
      <c r="K22" s="189"/>
    </row>
    <row r="23" spans="1:11" s="188" customFormat="1" ht="15.95" customHeight="1" x14ac:dyDescent="0.2">
      <c r="A23" s="186">
        <v>46124</v>
      </c>
      <c r="B23" s="187">
        <v>0.33333333333333331</v>
      </c>
      <c r="C23" s="192">
        <f t="shared" si="0"/>
        <v>1</v>
      </c>
      <c r="D23" s="189" t="s">
        <v>276</v>
      </c>
      <c r="E23" s="189" t="s">
        <v>584</v>
      </c>
      <c r="F23" s="189" t="s">
        <v>155</v>
      </c>
      <c r="G23" s="189"/>
      <c r="H23" s="192">
        <f t="shared" si="1"/>
        <v>0</v>
      </c>
      <c r="I23" s="189"/>
      <c r="J23" s="189"/>
      <c r="K23" s="189"/>
    </row>
    <row r="24" spans="1:11" s="188" customFormat="1" ht="15.95" customHeight="1" x14ac:dyDescent="0.2">
      <c r="A24" s="186">
        <v>46124</v>
      </c>
      <c r="B24" s="187">
        <v>0.66666666666666663</v>
      </c>
      <c r="C24" s="192"/>
      <c r="D24" s="189" t="s">
        <v>686</v>
      </c>
      <c r="E24" s="189" t="s">
        <v>365</v>
      </c>
      <c r="F24" s="189" t="s">
        <v>101</v>
      </c>
      <c r="G24" s="189"/>
      <c r="H24" s="192">
        <f t="shared" si="1"/>
        <v>0</v>
      </c>
      <c r="I24" s="189"/>
      <c r="J24" s="189"/>
      <c r="K24" s="189"/>
    </row>
    <row r="25" spans="1:11" s="188" customFormat="1" ht="15.95" customHeight="1" x14ac:dyDescent="0.2">
      <c r="A25" s="186">
        <v>46124</v>
      </c>
      <c r="B25" s="187">
        <v>0.33333333333333331</v>
      </c>
      <c r="C25" s="192">
        <f t="shared" si="0"/>
        <v>1</v>
      </c>
      <c r="D25" s="189" t="s">
        <v>686</v>
      </c>
      <c r="E25" s="189" t="s">
        <v>365</v>
      </c>
      <c r="F25" s="189" t="s">
        <v>101</v>
      </c>
      <c r="G25" s="189"/>
      <c r="H25" s="192">
        <f t="shared" si="1"/>
        <v>0</v>
      </c>
      <c r="I25" s="189"/>
      <c r="J25" s="189"/>
      <c r="K25" s="189"/>
    </row>
    <row r="26" spans="1:11" s="188" customFormat="1" ht="15.95" customHeight="1" x14ac:dyDescent="0.2">
      <c r="A26" s="186">
        <v>46124</v>
      </c>
      <c r="B26" s="187">
        <v>0.66666666666666663</v>
      </c>
      <c r="C26" s="192"/>
      <c r="D26" s="189" t="s">
        <v>263</v>
      </c>
      <c r="E26" s="189" t="s">
        <v>573</v>
      </c>
      <c r="F26" s="189" t="s">
        <v>766</v>
      </c>
      <c r="G26" s="187">
        <v>0.98958333333333337</v>
      </c>
      <c r="H26" s="192">
        <f t="shared" si="1"/>
        <v>-23.750000000000004</v>
      </c>
      <c r="I26" s="189"/>
      <c r="J26" s="189"/>
      <c r="K26" s="189"/>
    </row>
    <row r="27" spans="1:11" s="188" customFormat="1" ht="15.95" customHeight="1" x14ac:dyDescent="0.2">
      <c r="A27" s="186">
        <v>46124</v>
      </c>
      <c r="B27" s="187">
        <v>0.33333333333333331</v>
      </c>
      <c r="C27" s="192">
        <f t="shared" si="0"/>
        <v>1</v>
      </c>
      <c r="D27" s="189" t="s">
        <v>263</v>
      </c>
      <c r="E27" s="189" t="s">
        <v>573</v>
      </c>
      <c r="F27" s="189" t="s">
        <v>766</v>
      </c>
      <c r="G27" s="187">
        <v>0.66666666666666663</v>
      </c>
      <c r="H27" s="192">
        <f t="shared" si="1"/>
        <v>7.7500000000000018</v>
      </c>
      <c r="I27" s="189"/>
      <c r="J27" s="189"/>
      <c r="K27" s="189"/>
    </row>
    <row r="28" spans="1:11" s="188" customFormat="1" ht="15.95" customHeight="1" x14ac:dyDescent="0.2">
      <c r="A28" s="186">
        <v>46124</v>
      </c>
      <c r="B28" s="187">
        <v>0.66666666666666663</v>
      </c>
      <c r="C28" s="192"/>
      <c r="D28" s="189" t="s">
        <v>102</v>
      </c>
      <c r="E28" s="189" t="s">
        <v>426</v>
      </c>
      <c r="F28" s="189" t="s">
        <v>101</v>
      </c>
      <c r="G28" s="189"/>
      <c r="H28" s="192">
        <f t="shared" si="1"/>
        <v>16</v>
      </c>
      <c r="I28" s="189"/>
      <c r="J28" s="189"/>
      <c r="K28" s="189"/>
    </row>
    <row r="29" spans="1:11" s="188" customFormat="1" ht="15.95" customHeight="1" x14ac:dyDescent="0.2">
      <c r="A29" s="186">
        <v>46124</v>
      </c>
      <c r="B29" s="187">
        <v>0.33333333333333331</v>
      </c>
      <c r="C29" s="192">
        <f t="shared" si="0"/>
        <v>1</v>
      </c>
      <c r="D29" s="189" t="s">
        <v>102</v>
      </c>
      <c r="E29" s="189" t="s">
        <v>426</v>
      </c>
      <c r="F29" s="189" t="s">
        <v>101</v>
      </c>
      <c r="G29" s="189"/>
      <c r="H29" s="192">
        <f t="shared" si="1"/>
        <v>0</v>
      </c>
      <c r="I29" s="189"/>
      <c r="J29" s="189"/>
      <c r="K29" s="189"/>
    </row>
    <row r="30" spans="1:11" s="188" customFormat="1" ht="15.95" customHeight="1" x14ac:dyDescent="0.2">
      <c r="A30" s="186">
        <v>46124</v>
      </c>
      <c r="B30" s="187">
        <v>0.66666666666666663</v>
      </c>
      <c r="C30" s="192"/>
      <c r="D30" s="189" t="s">
        <v>688</v>
      </c>
      <c r="E30" s="189" t="s">
        <v>427</v>
      </c>
      <c r="F30" s="189" t="s">
        <v>101</v>
      </c>
      <c r="G30" s="189"/>
      <c r="H30" s="192">
        <f t="shared" si="1"/>
        <v>0</v>
      </c>
      <c r="I30" s="189"/>
      <c r="J30" s="189"/>
      <c r="K30" s="189"/>
    </row>
    <row r="31" spans="1:11" s="188" customFormat="1" ht="15.95" customHeight="1" x14ac:dyDescent="0.2">
      <c r="A31" s="186">
        <v>46124</v>
      </c>
      <c r="B31" s="187">
        <v>0.33333333333333331</v>
      </c>
      <c r="C31" s="192">
        <f t="shared" si="0"/>
        <v>1</v>
      </c>
      <c r="D31" s="189" t="s">
        <v>688</v>
      </c>
      <c r="E31" s="189" t="s">
        <v>427</v>
      </c>
      <c r="F31" s="189" t="s">
        <v>101</v>
      </c>
      <c r="G31" s="189"/>
      <c r="H31" s="192">
        <f t="shared" si="1"/>
        <v>0</v>
      </c>
      <c r="I31" s="189"/>
      <c r="J31" s="189"/>
      <c r="K31" s="189"/>
    </row>
    <row r="32" spans="1:11" s="188" customFormat="1" ht="15.95" customHeight="1" x14ac:dyDescent="0.2">
      <c r="A32" s="186">
        <v>46124</v>
      </c>
      <c r="B32" s="187">
        <v>0.66666666666666663</v>
      </c>
      <c r="C32" s="192"/>
      <c r="D32" s="189" t="s">
        <v>690</v>
      </c>
      <c r="E32" s="189" t="s">
        <v>510</v>
      </c>
      <c r="F32" s="189" t="s">
        <v>192</v>
      </c>
      <c r="G32" s="189"/>
      <c r="H32" s="192">
        <f t="shared" si="1"/>
        <v>0</v>
      </c>
      <c r="I32" s="189"/>
      <c r="J32" s="189"/>
      <c r="K32" s="189"/>
    </row>
    <row r="33" spans="1:11" s="188" customFormat="1" ht="15.95" customHeight="1" x14ac:dyDescent="0.2">
      <c r="A33" s="186">
        <v>46124</v>
      </c>
      <c r="B33" s="187">
        <v>0.33333333333333331</v>
      </c>
      <c r="C33" s="192">
        <f t="shared" si="0"/>
        <v>1</v>
      </c>
      <c r="D33" s="189" t="s">
        <v>690</v>
      </c>
      <c r="E33" s="189" t="s">
        <v>510</v>
      </c>
      <c r="F33" s="189" t="s">
        <v>192</v>
      </c>
      <c r="G33" s="189"/>
      <c r="H33" s="192">
        <f t="shared" si="1"/>
        <v>0</v>
      </c>
      <c r="I33" s="189"/>
      <c r="J33" s="189"/>
      <c r="K33" s="189"/>
    </row>
    <row r="34" spans="1:11" s="188" customFormat="1" ht="15.95" customHeight="1" x14ac:dyDescent="0.2">
      <c r="A34" s="186">
        <v>46124</v>
      </c>
      <c r="B34" s="187">
        <v>0.66666666666666663</v>
      </c>
      <c r="C34" s="192"/>
      <c r="D34" s="189" t="s">
        <v>171</v>
      </c>
      <c r="E34" s="189" t="s">
        <v>488</v>
      </c>
      <c r="F34" s="189" t="s">
        <v>169</v>
      </c>
      <c r="G34" s="189"/>
      <c r="H34" s="192">
        <f t="shared" si="1"/>
        <v>0</v>
      </c>
      <c r="I34" s="189"/>
      <c r="J34" s="189"/>
      <c r="K34" s="189"/>
    </row>
    <row r="35" spans="1:11" s="188" customFormat="1" ht="15.95" customHeight="1" x14ac:dyDescent="0.2">
      <c r="A35" s="186">
        <v>46124</v>
      </c>
      <c r="B35" s="187">
        <v>0.33333333333333331</v>
      </c>
      <c r="C35" s="192">
        <f t="shared" si="0"/>
        <v>1</v>
      </c>
      <c r="D35" s="189" t="s">
        <v>171</v>
      </c>
      <c r="E35" s="189" t="s">
        <v>488</v>
      </c>
      <c r="F35" s="189" t="s">
        <v>169</v>
      </c>
      <c r="G35" s="189"/>
      <c r="H35" s="192">
        <f t="shared" si="1"/>
        <v>0</v>
      </c>
      <c r="I35" s="189"/>
      <c r="J35" s="189"/>
      <c r="K35" s="189"/>
    </row>
    <row r="36" spans="1:11" s="188" customFormat="1" ht="15.95" customHeight="1" x14ac:dyDescent="0.2">
      <c r="A36" s="186">
        <v>46124</v>
      </c>
      <c r="B36" s="187">
        <v>0.66666666666666663</v>
      </c>
      <c r="C36" s="192"/>
      <c r="D36" s="189" t="s">
        <v>172</v>
      </c>
      <c r="E36" s="189" t="s">
        <v>489</v>
      </c>
      <c r="F36" s="189" t="s">
        <v>169</v>
      </c>
      <c r="G36" s="189"/>
      <c r="H36" s="192">
        <f t="shared" si="1"/>
        <v>0</v>
      </c>
      <c r="I36" s="189"/>
      <c r="J36" s="189"/>
      <c r="K36" s="189"/>
    </row>
    <row r="37" spans="1:11" s="188" customFormat="1" ht="15.95" customHeight="1" x14ac:dyDescent="0.2">
      <c r="A37" s="186">
        <v>46124</v>
      </c>
      <c r="B37" s="187">
        <v>0.33333333333333331</v>
      </c>
      <c r="C37" s="192">
        <f t="shared" si="0"/>
        <v>1</v>
      </c>
      <c r="D37" s="189" t="s">
        <v>172</v>
      </c>
      <c r="E37" s="189" t="s">
        <v>489</v>
      </c>
      <c r="F37" s="189" t="s">
        <v>169</v>
      </c>
      <c r="G37" s="189"/>
      <c r="H37" s="192">
        <f t="shared" si="1"/>
        <v>0</v>
      </c>
      <c r="I37" s="189"/>
      <c r="J37" s="189"/>
      <c r="K37" s="189"/>
    </row>
    <row r="38" spans="1:11" s="188" customFormat="1" ht="15.95" customHeight="1" x14ac:dyDescent="0.2">
      <c r="A38" s="186">
        <v>46124</v>
      </c>
      <c r="B38" s="187">
        <v>0.66666666666666663</v>
      </c>
      <c r="C38" s="192"/>
      <c r="D38" s="189" t="s">
        <v>26</v>
      </c>
      <c r="E38" s="189" t="s">
        <v>349</v>
      </c>
      <c r="F38" s="189" t="s">
        <v>668</v>
      </c>
      <c r="G38" s="189"/>
      <c r="H38" s="192">
        <f t="shared" si="1"/>
        <v>0</v>
      </c>
      <c r="I38" s="189"/>
      <c r="J38" s="189"/>
      <c r="K38" s="189"/>
    </row>
    <row r="39" spans="1:11" s="188" customFormat="1" ht="15.95" customHeight="1" x14ac:dyDescent="0.2">
      <c r="A39" s="186">
        <v>46124</v>
      </c>
      <c r="B39" s="187">
        <v>0.33333333333333331</v>
      </c>
      <c r="C39" s="192">
        <f t="shared" si="0"/>
        <v>1</v>
      </c>
      <c r="D39" s="189" t="s">
        <v>26</v>
      </c>
      <c r="E39" s="189" t="s">
        <v>349</v>
      </c>
      <c r="F39" s="189" t="s">
        <v>668</v>
      </c>
      <c r="G39" s="189"/>
      <c r="H39" s="192">
        <f t="shared" si="1"/>
        <v>0</v>
      </c>
      <c r="I39" s="189"/>
      <c r="J39" s="189"/>
      <c r="K39" s="189"/>
    </row>
    <row r="40" spans="1:11" s="188" customFormat="1" ht="15.95" customHeight="1" x14ac:dyDescent="0.2">
      <c r="A40" s="186">
        <v>46124</v>
      </c>
      <c r="B40" s="187">
        <v>0.66666666666666663</v>
      </c>
      <c r="C40" s="192"/>
      <c r="D40" s="189" t="s">
        <v>770</v>
      </c>
      <c r="E40" s="189" t="s">
        <v>474</v>
      </c>
      <c r="F40" s="189" t="s">
        <v>155</v>
      </c>
      <c r="G40" s="189"/>
      <c r="H40" s="192">
        <f t="shared" si="1"/>
        <v>0</v>
      </c>
      <c r="I40" s="189"/>
      <c r="J40" s="189"/>
      <c r="K40" s="189"/>
    </row>
    <row r="41" spans="1:11" s="188" customFormat="1" ht="15.95" customHeight="1" x14ac:dyDescent="0.2">
      <c r="A41" s="186">
        <v>46124</v>
      </c>
      <c r="B41" s="187">
        <v>0.33333333333333331</v>
      </c>
      <c r="C41" s="192">
        <f t="shared" si="0"/>
        <v>1</v>
      </c>
      <c r="D41" s="189" t="s">
        <v>770</v>
      </c>
      <c r="E41" s="189" t="s">
        <v>474</v>
      </c>
      <c r="F41" s="189" t="s">
        <v>155</v>
      </c>
      <c r="G41" s="189"/>
      <c r="H41" s="192">
        <f t="shared" si="1"/>
        <v>0</v>
      </c>
      <c r="I41" s="189"/>
      <c r="J41" s="189"/>
      <c r="K41" s="189"/>
    </row>
    <row r="42" spans="1:11" s="188" customFormat="1" ht="15.95" customHeight="1" x14ac:dyDescent="0.2">
      <c r="A42" s="186">
        <v>46124</v>
      </c>
      <c r="B42" s="187">
        <v>0.66666666666666663</v>
      </c>
      <c r="C42" s="192"/>
      <c r="D42" s="189" t="s">
        <v>71</v>
      </c>
      <c r="E42" s="189" t="s">
        <v>393</v>
      </c>
      <c r="F42" s="189" t="s">
        <v>674</v>
      </c>
      <c r="G42" s="189"/>
      <c r="H42" s="192">
        <f t="shared" si="1"/>
        <v>0</v>
      </c>
      <c r="I42" s="189"/>
      <c r="J42" s="189"/>
      <c r="K42" s="189"/>
    </row>
    <row r="43" spans="1:11" s="188" customFormat="1" ht="15.95" customHeight="1" x14ac:dyDescent="0.2">
      <c r="A43" s="186">
        <v>46124</v>
      </c>
      <c r="B43" s="187">
        <v>0.33333333333333331</v>
      </c>
      <c r="C43" s="192">
        <f t="shared" si="0"/>
        <v>1</v>
      </c>
      <c r="D43" s="189" t="s">
        <v>71</v>
      </c>
      <c r="E43" s="189" t="s">
        <v>393</v>
      </c>
      <c r="F43" s="189" t="s">
        <v>674</v>
      </c>
      <c r="G43" s="189"/>
      <c r="H43" s="192">
        <f t="shared" si="1"/>
        <v>0</v>
      </c>
      <c r="I43" s="189"/>
      <c r="J43" s="189"/>
      <c r="K43" s="189"/>
    </row>
    <row r="44" spans="1:11" s="188" customFormat="1" ht="15.95" customHeight="1" x14ac:dyDescent="0.2">
      <c r="A44" s="186">
        <v>46124</v>
      </c>
      <c r="B44" s="187">
        <v>0.66666666666666663</v>
      </c>
      <c r="C44" s="192"/>
      <c r="D44" s="189" t="s">
        <v>33</v>
      </c>
      <c r="E44" s="189" t="s">
        <v>356</v>
      </c>
      <c r="F44" s="189" t="s">
        <v>771</v>
      </c>
      <c r="G44" s="189"/>
      <c r="H44" s="192">
        <f t="shared" si="1"/>
        <v>0</v>
      </c>
      <c r="I44" s="189"/>
      <c r="J44" s="189"/>
      <c r="K44" s="189"/>
    </row>
    <row r="45" spans="1:11" s="188" customFormat="1" ht="15.95" customHeight="1" x14ac:dyDescent="0.2">
      <c r="A45" s="186">
        <v>46124</v>
      </c>
      <c r="B45" s="187">
        <v>0.33333333333333331</v>
      </c>
      <c r="C45" s="192">
        <f t="shared" si="0"/>
        <v>1</v>
      </c>
      <c r="D45" s="189" t="s">
        <v>33</v>
      </c>
      <c r="E45" s="189" t="s">
        <v>356</v>
      </c>
      <c r="F45" s="189" t="s">
        <v>771</v>
      </c>
      <c r="G45" s="189"/>
      <c r="H45" s="192">
        <f t="shared" si="1"/>
        <v>0</v>
      </c>
      <c r="I45" s="189"/>
      <c r="J45" s="189"/>
      <c r="K45" s="189"/>
    </row>
    <row r="46" spans="1:11" s="188" customFormat="1" ht="15.95" customHeight="1" x14ac:dyDescent="0.2">
      <c r="A46" s="186">
        <v>46124</v>
      </c>
      <c r="B46" s="187">
        <v>0.66666666666666663</v>
      </c>
      <c r="C46" s="192"/>
      <c r="D46" s="189" t="s">
        <v>44</v>
      </c>
      <c r="E46" s="189" t="s">
        <v>366</v>
      </c>
      <c r="F46" s="189" t="s">
        <v>674</v>
      </c>
      <c r="G46" s="189"/>
      <c r="H46" s="192">
        <f t="shared" si="1"/>
        <v>0</v>
      </c>
      <c r="I46" s="189"/>
      <c r="J46" s="189"/>
      <c r="K46" s="189"/>
    </row>
    <row r="47" spans="1:11" s="188" customFormat="1" ht="15.95" customHeight="1" x14ac:dyDescent="0.2">
      <c r="A47" s="186">
        <v>46124</v>
      </c>
      <c r="B47" s="187">
        <v>0.33333333333333331</v>
      </c>
      <c r="C47" s="192">
        <f t="shared" si="0"/>
        <v>1</v>
      </c>
      <c r="D47" s="189" t="s">
        <v>44</v>
      </c>
      <c r="E47" s="189" t="s">
        <v>366</v>
      </c>
      <c r="F47" s="189" t="s">
        <v>674</v>
      </c>
      <c r="G47" s="189"/>
      <c r="H47" s="192">
        <f t="shared" si="1"/>
        <v>0</v>
      </c>
      <c r="I47" s="189"/>
      <c r="J47" s="189"/>
      <c r="K47" s="189"/>
    </row>
    <row r="48" spans="1:11" s="188" customFormat="1" ht="15.95" customHeight="1" x14ac:dyDescent="0.2">
      <c r="A48" s="186">
        <v>46124</v>
      </c>
      <c r="B48" s="187">
        <v>0.66666666666666663</v>
      </c>
      <c r="C48" s="192"/>
      <c r="D48" s="189" t="s">
        <v>128</v>
      </c>
      <c r="E48" s="189" t="s">
        <v>451</v>
      </c>
      <c r="F48" s="189" t="s">
        <v>772</v>
      </c>
      <c r="G48" s="189"/>
      <c r="H48" s="192">
        <f t="shared" si="1"/>
        <v>0</v>
      </c>
      <c r="I48" s="189"/>
      <c r="J48" s="189"/>
      <c r="K48" s="189"/>
    </row>
    <row r="49" spans="1:11" s="188" customFormat="1" ht="15.95" customHeight="1" x14ac:dyDescent="0.2">
      <c r="A49" s="186">
        <v>46124</v>
      </c>
      <c r="B49" s="187">
        <v>0.33333333333333331</v>
      </c>
      <c r="C49" s="192">
        <f t="shared" si="0"/>
        <v>1</v>
      </c>
      <c r="D49" s="189" t="s">
        <v>128</v>
      </c>
      <c r="E49" s="189" t="s">
        <v>451</v>
      </c>
      <c r="F49" s="189" t="s">
        <v>772</v>
      </c>
      <c r="G49" s="189"/>
      <c r="H49" s="192">
        <f t="shared" si="1"/>
        <v>0</v>
      </c>
      <c r="I49" s="189"/>
      <c r="J49" s="189"/>
      <c r="K49" s="189"/>
    </row>
    <row r="50" spans="1:11" s="188" customFormat="1" ht="15.95" customHeight="1" x14ac:dyDescent="0.2">
      <c r="A50" s="186">
        <v>46124</v>
      </c>
      <c r="B50" s="187">
        <v>0.38055555555555554</v>
      </c>
      <c r="C50" s="192"/>
      <c r="D50" s="189" t="s">
        <v>234</v>
      </c>
      <c r="E50" s="189" t="s">
        <v>547</v>
      </c>
      <c r="F50" s="189" t="s">
        <v>232</v>
      </c>
      <c r="G50" s="189"/>
      <c r="H50" s="192">
        <f t="shared" si="1"/>
        <v>0</v>
      </c>
      <c r="I50" s="189"/>
      <c r="J50" s="189"/>
      <c r="K50" s="189"/>
    </row>
    <row r="51" spans="1:11" s="188" customFormat="1" ht="15.95" customHeight="1" x14ac:dyDescent="0.2">
      <c r="A51" s="186">
        <v>46124</v>
      </c>
      <c r="B51" s="187">
        <v>0.33333333333333331</v>
      </c>
      <c r="C51" s="192">
        <v>0.14000000000000001</v>
      </c>
      <c r="D51" s="189" t="s">
        <v>234</v>
      </c>
      <c r="E51" s="189" t="s">
        <v>547</v>
      </c>
      <c r="F51" s="189" t="s">
        <v>232</v>
      </c>
      <c r="G51" s="189"/>
      <c r="H51" s="192">
        <f t="shared" si="1"/>
        <v>0</v>
      </c>
      <c r="I51" s="189"/>
      <c r="J51" s="189"/>
      <c r="K51" s="189"/>
    </row>
    <row r="52" spans="1:11" s="188" customFormat="1" ht="15.95" customHeight="1" x14ac:dyDescent="0.2">
      <c r="A52" s="186">
        <v>46124</v>
      </c>
      <c r="B52" s="187">
        <v>0.98958333333333337</v>
      </c>
      <c r="C52" s="192"/>
      <c r="D52" s="189" t="s">
        <v>294</v>
      </c>
      <c r="E52" s="189" t="s">
        <v>603</v>
      </c>
      <c r="F52" s="189" t="s">
        <v>800</v>
      </c>
      <c r="G52" s="189"/>
      <c r="H52" s="192">
        <f t="shared" si="1"/>
        <v>0</v>
      </c>
      <c r="I52" s="189"/>
      <c r="J52" s="189"/>
      <c r="K52" s="189"/>
    </row>
    <row r="53" spans="1:11" s="188" customFormat="1" ht="15.95" customHeight="1" x14ac:dyDescent="0.2">
      <c r="A53" s="186">
        <v>46124</v>
      </c>
      <c r="B53" s="187">
        <v>0.65625</v>
      </c>
      <c r="C53" s="192">
        <f t="shared" si="0"/>
        <v>1.0000000000000002</v>
      </c>
      <c r="D53" s="189" t="s">
        <v>294</v>
      </c>
      <c r="E53" s="189" t="s">
        <v>603</v>
      </c>
      <c r="F53" s="189" t="s">
        <v>800</v>
      </c>
      <c r="G53" s="189"/>
      <c r="H53" s="192">
        <f t="shared" si="1"/>
        <v>0</v>
      </c>
      <c r="I53" s="189"/>
      <c r="J53" s="189"/>
      <c r="K53" s="189"/>
    </row>
    <row r="54" spans="1:11" s="188" customFormat="1" ht="15.95" customHeight="1" x14ac:dyDescent="0.2">
      <c r="A54" s="186">
        <v>46124</v>
      </c>
      <c r="B54" s="187">
        <v>0.66666666666666663</v>
      </c>
      <c r="C54" s="192"/>
      <c r="D54" s="189" t="s">
        <v>45</v>
      </c>
      <c r="E54" s="189" t="s">
        <v>367</v>
      </c>
      <c r="F54" s="189" t="s">
        <v>42</v>
      </c>
      <c r="G54" s="189"/>
      <c r="H54" s="192">
        <f t="shared" si="1"/>
        <v>0</v>
      </c>
      <c r="I54" s="189"/>
      <c r="J54" s="189"/>
      <c r="K54" s="189"/>
    </row>
    <row r="55" spans="1:11" s="188" customFormat="1" ht="15.95" customHeight="1" x14ac:dyDescent="0.2">
      <c r="A55" s="186">
        <v>46124</v>
      </c>
      <c r="B55" s="187">
        <v>0.33333333333333331</v>
      </c>
      <c r="C55" s="192">
        <f t="shared" si="0"/>
        <v>1</v>
      </c>
      <c r="D55" s="189" t="s">
        <v>45</v>
      </c>
      <c r="E55" s="189" t="s">
        <v>367</v>
      </c>
      <c r="F55" s="189" t="s">
        <v>42</v>
      </c>
      <c r="G55" s="189"/>
      <c r="H55" s="192">
        <f t="shared" si="1"/>
        <v>0</v>
      </c>
      <c r="I55" s="189"/>
      <c r="J55" s="189"/>
      <c r="K55" s="189"/>
    </row>
    <row r="56" spans="1:11" s="188" customFormat="1" ht="15.95" customHeight="1" x14ac:dyDescent="0.2">
      <c r="A56" s="186">
        <v>46124</v>
      </c>
      <c r="B56" s="187">
        <v>0.66666666666666663</v>
      </c>
      <c r="C56" s="192"/>
      <c r="D56" s="189" t="s">
        <v>277</v>
      </c>
      <c r="E56" s="189" t="s">
        <v>585</v>
      </c>
      <c r="F56" s="189" t="s">
        <v>275</v>
      </c>
      <c r="G56" s="189"/>
      <c r="H56" s="192">
        <f t="shared" si="1"/>
        <v>0</v>
      </c>
      <c r="I56" s="189"/>
      <c r="J56" s="189"/>
      <c r="K56" s="189"/>
    </row>
    <row r="57" spans="1:11" s="188" customFormat="1" ht="15.95" customHeight="1" x14ac:dyDescent="0.2">
      <c r="A57" s="186">
        <v>46124</v>
      </c>
      <c r="B57" s="187">
        <v>0.33333333333333331</v>
      </c>
      <c r="C57" s="192">
        <f t="shared" si="0"/>
        <v>1</v>
      </c>
      <c r="D57" s="189" t="s">
        <v>277</v>
      </c>
      <c r="E57" s="189" t="s">
        <v>585</v>
      </c>
      <c r="F57" s="189" t="s">
        <v>275</v>
      </c>
      <c r="G57" s="189"/>
      <c r="H57" s="192">
        <f t="shared" si="1"/>
        <v>0</v>
      </c>
      <c r="I57" s="189"/>
      <c r="J57" s="189"/>
      <c r="K57" s="189"/>
    </row>
    <row r="58" spans="1:11" s="188" customFormat="1" ht="15.95" customHeight="1" x14ac:dyDescent="0.2">
      <c r="A58" s="186">
        <v>46124</v>
      </c>
      <c r="B58" s="187">
        <v>0.66666666666666663</v>
      </c>
      <c r="C58" s="192"/>
      <c r="D58" s="189" t="s">
        <v>46</v>
      </c>
      <c r="E58" s="189" t="s">
        <v>368</v>
      </c>
      <c r="F58" s="189" t="s">
        <v>42</v>
      </c>
      <c r="G58" s="189"/>
      <c r="H58" s="192">
        <f t="shared" si="1"/>
        <v>0</v>
      </c>
      <c r="I58" s="189"/>
      <c r="J58" s="189"/>
      <c r="K58" s="189"/>
    </row>
    <row r="59" spans="1:11" s="188" customFormat="1" ht="15.95" customHeight="1" x14ac:dyDescent="0.2">
      <c r="A59" s="186">
        <v>46124</v>
      </c>
      <c r="B59" s="187">
        <v>0.33333333333333331</v>
      </c>
      <c r="C59" s="192">
        <f t="shared" si="0"/>
        <v>1</v>
      </c>
      <c r="D59" s="189" t="s">
        <v>46</v>
      </c>
      <c r="E59" s="189" t="s">
        <v>368</v>
      </c>
      <c r="F59" s="189" t="s">
        <v>42</v>
      </c>
      <c r="G59" s="189"/>
      <c r="H59" s="192">
        <f t="shared" si="1"/>
        <v>0</v>
      </c>
      <c r="I59" s="189"/>
      <c r="J59" s="189"/>
      <c r="K59" s="189"/>
    </row>
    <row r="60" spans="1:11" s="188" customFormat="1" ht="15.95" customHeight="1" x14ac:dyDescent="0.2">
      <c r="A60" s="186">
        <v>46124</v>
      </c>
      <c r="B60" s="187">
        <v>0.66666666666666663</v>
      </c>
      <c r="C60" s="192"/>
      <c r="D60" s="189" t="s">
        <v>27</v>
      </c>
      <c r="E60" s="189" t="s">
        <v>350</v>
      </c>
      <c r="F60" s="189" t="s">
        <v>671</v>
      </c>
      <c r="G60" s="187">
        <v>0.90347222222222223</v>
      </c>
      <c r="H60" s="192">
        <f t="shared" si="1"/>
        <v>-21.683333333333334</v>
      </c>
      <c r="I60" s="189"/>
      <c r="J60" s="189"/>
      <c r="K60" s="189"/>
    </row>
    <row r="61" spans="1:11" s="188" customFormat="1" ht="15.95" customHeight="1" x14ac:dyDescent="0.2">
      <c r="A61" s="186">
        <v>46124</v>
      </c>
      <c r="B61" s="187">
        <v>0.34444444444444444</v>
      </c>
      <c r="C61" s="192">
        <v>0.96</v>
      </c>
      <c r="D61" s="189" t="s">
        <v>27</v>
      </c>
      <c r="E61" s="189" t="s">
        <v>350</v>
      </c>
      <c r="F61" s="189" t="s">
        <v>671</v>
      </c>
      <c r="G61" s="187">
        <v>0.66666666666666663</v>
      </c>
      <c r="H61" s="192">
        <f t="shared" si="1"/>
        <v>5.6833333333333345</v>
      </c>
      <c r="I61" s="189"/>
      <c r="J61" s="189"/>
      <c r="K61" s="189"/>
    </row>
    <row r="62" spans="1:11" s="188" customFormat="1" ht="15.95" customHeight="1" x14ac:dyDescent="0.2">
      <c r="A62" s="186">
        <v>46124</v>
      </c>
      <c r="B62" s="187">
        <v>0.66666666666666663</v>
      </c>
      <c r="C62" s="192"/>
      <c r="D62" s="189" t="s">
        <v>773</v>
      </c>
      <c r="E62" s="189" t="s">
        <v>497</v>
      </c>
      <c r="F62" s="189"/>
      <c r="G62" s="189"/>
      <c r="H62" s="192">
        <f t="shared" si="1"/>
        <v>16</v>
      </c>
      <c r="I62" s="189"/>
      <c r="J62" s="189"/>
      <c r="K62" s="189"/>
    </row>
    <row r="63" spans="1:11" s="188" customFormat="1" ht="15.95" customHeight="1" x14ac:dyDescent="0.2">
      <c r="A63" s="186">
        <v>46124</v>
      </c>
      <c r="B63" s="187">
        <v>0.33333333333333331</v>
      </c>
      <c r="C63" s="192">
        <f t="shared" si="0"/>
        <v>1</v>
      </c>
      <c r="D63" s="189" t="s">
        <v>773</v>
      </c>
      <c r="E63" s="189" t="s">
        <v>497</v>
      </c>
      <c r="F63" s="189"/>
      <c r="G63" s="189"/>
      <c r="H63" s="192">
        <f t="shared" si="1"/>
        <v>0</v>
      </c>
      <c r="I63" s="189"/>
      <c r="J63" s="189"/>
      <c r="K63" s="189"/>
    </row>
    <row r="64" spans="1:11" s="188" customFormat="1" ht="15.95" customHeight="1" x14ac:dyDescent="0.2">
      <c r="A64" s="186">
        <v>46124</v>
      </c>
      <c r="B64" s="187">
        <v>0.66666666666666663</v>
      </c>
      <c r="C64" s="192"/>
      <c r="D64" s="189" t="s">
        <v>47</v>
      </c>
      <c r="E64" s="189" t="s">
        <v>369</v>
      </c>
      <c r="F64" s="189" t="s">
        <v>796</v>
      </c>
      <c r="G64" s="189"/>
      <c r="H64" s="192">
        <f t="shared" si="1"/>
        <v>0</v>
      </c>
      <c r="I64" s="189"/>
      <c r="J64" s="189"/>
      <c r="K64" s="189"/>
    </row>
    <row r="65" spans="1:11" s="188" customFormat="1" ht="15.95" customHeight="1" x14ac:dyDescent="0.2">
      <c r="A65" s="186">
        <v>46124</v>
      </c>
      <c r="B65" s="187">
        <v>0.33333333333333331</v>
      </c>
      <c r="C65" s="192">
        <f t="shared" si="0"/>
        <v>1</v>
      </c>
      <c r="D65" s="189" t="s">
        <v>47</v>
      </c>
      <c r="E65" s="189" t="s">
        <v>369</v>
      </c>
      <c r="F65" s="189" t="s">
        <v>796</v>
      </c>
      <c r="G65" s="189"/>
      <c r="H65" s="192">
        <f t="shared" si="1"/>
        <v>0</v>
      </c>
      <c r="I65" s="189"/>
      <c r="J65" s="189"/>
      <c r="K65" s="189"/>
    </row>
    <row r="66" spans="1:11" s="188" customFormat="1" ht="15.95" customHeight="1" x14ac:dyDescent="0.2">
      <c r="A66" s="186">
        <v>46124</v>
      </c>
      <c r="B66" s="187">
        <v>0.66666666666666663</v>
      </c>
      <c r="C66" s="192"/>
      <c r="D66" s="189" t="s">
        <v>735</v>
      </c>
      <c r="E66" s="189" t="s">
        <v>429</v>
      </c>
      <c r="F66" s="189" t="s">
        <v>668</v>
      </c>
      <c r="G66" s="189"/>
      <c r="H66" s="192">
        <f t="shared" si="1"/>
        <v>0</v>
      </c>
      <c r="I66" s="189"/>
      <c r="J66" s="189"/>
      <c r="K66" s="189"/>
    </row>
    <row r="67" spans="1:11" s="188" customFormat="1" ht="15.95" customHeight="1" x14ac:dyDescent="0.2">
      <c r="A67" s="186">
        <v>46124</v>
      </c>
      <c r="B67" s="187">
        <v>0.33333333333333331</v>
      </c>
      <c r="C67" s="192">
        <f t="shared" si="0"/>
        <v>1</v>
      </c>
      <c r="D67" s="189" t="s">
        <v>735</v>
      </c>
      <c r="E67" s="189" t="s">
        <v>429</v>
      </c>
      <c r="F67" s="189" t="s">
        <v>668</v>
      </c>
      <c r="G67" s="189"/>
      <c r="H67" s="192">
        <f t="shared" si="1"/>
        <v>0</v>
      </c>
      <c r="I67" s="189"/>
      <c r="J67" s="189"/>
      <c r="K67" s="189"/>
    </row>
    <row r="68" spans="1:11" s="188" customFormat="1" ht="15.95" customHeight="1" x14ac:dyDescent="0.2">
      <c r="A68" s="186">
        <v>46124</v>
      </c>
      <c r="B68" s="187">
        <v>0.66666666666666663</v>
      </c>
      <c r="C68" s="192"/>
      <c r="D68" s="189" t="s">
        <v>34</v>
      </c>
      <c r="E68" s="189" t="s">
        <v>357</v>
      </c>
      <c r="F68" s="189" t="s">
        <v>771</v>
      </c>
      <c r="G68" s="189"/>
      <c r="H68" s="192">
        <f t="shared" si="1"/>
        <v>0</v>
      </c>
      <c r="I68" s="189"/>
      <c r="J68" s="189"/>
      <c r="K68" s="189"/>
    </row>
    <row r="69" spans="1:11" s="188" customFormat="1" ht="15.95" customHeight="1" x14ac:dyDescent="0.2">
      <c r="A69" s="186">
        <v>46124</v>
      </c>
      <c r="B69" s="187">
        <v>0.33333333333333331</v>
      </c>
      <c r="C69" s="192">
        <f t="shared" ref="C69:C131" si="2">(B68-B69)/TIME(8,0,0)</f>
        <v>1</v>
      </c>
      <c r="D69" s="189" t="s">
        <v>34</v>
      </c>
      <c r="E69" s="189" t="s">
        <v>357</v>
      </c>
      <c r="F69" s="189" t="s">
        <v>771</v>
      </c>
      <c r="G69" s="189"/>
      <c r="H69" s="192">
        <f t="shared" si="1"/>
        <v>0</v>
      </c>
      <c r="I69" s="189"/>
      <c r="J69" s="189"/>
      <c r="K69" s="189"/>
    </row>
    <row r="70" spans="1:11" s="188" customFormat="1" ht="15.95" customHeight="1" x14ac:dyDescent="0.2">
      <c r="A70" s="186">
        <v>46124</v>
      </c>
      <c r="B70" s="187">
        <v>0.66666666666666663</v>
      </c>
      <c r="C70" s="192"/>
      <c r="D70" s="189" t="s">
        <v>72</v>
      </c>
      <c r="E70" s="189" t="s">
        <v>394</v>
      </c>
      <c r="F70" s="189" t="s">
        <v>767</v>
      </c>
      <c r="G70" s="189"/>
      <c r="H70" s="192">
        <f t="shared" si="1"/>
        <v>0</v>
      </c>
      <c r="I70" s="189"/>
      <c r="J70" s="189"/>
      <c r="K70" s="189"/>
    </row>
    <row r="71" spans="1:11" s="188" customFormat="1" ht="15.95" customHeight="1" x14ac:dyDescent="0.2">
      <c r="A71" s="186">
        <v>46124</v>
      </c>
      <c r="B71" s="187">
        <v>0.33333333333333331</v>
      </c>
      <c r="C71" s="192">
        <f t="shared" si="2"/>
        <v>1</v>
      </c>
      <c r="D71" s="189" t="s">
        <v>72</v>
      </c>
      <c r="E71" s="189" t="s">
        <v>394</v>
      </c>
      <c r="F71" s="189" t="s">
        <v>767</v>
      </c>
      <c r="G71" s="189"/>
      <c r="H71" s="192">
        <f t="shared" si="1"/>
        <v>0</v>
      </c>
      <c r="I71" s="189"/>
      <c r="J71" s="189"/>
      <c r="K71" s="189"/>
    </row>
    <row r="72" spans="1:11" s="188" customFormat="1" ht="15.95" customHeight="1" x14ac:dyDescent="0.2">
      <c r="A72" s="186">
        <v>46124</v>
      </c>
      <c r="B72" s="187">
        <v>0.66666666666666663</v>
      </c>
      <c r="C72" s="192"/>
      <c r="D72" s="189" t="s">
        <v>264</v>
      </c>
      <c r="E72" s="189" t="s">
        <v>574</v>
      </c>
      <c r="F72" s="189" t="s">
        <v>668</v>
      </c>
      <c r="G72" s="189"/>
      <c r="H72" s="192">
        <f t="shared" si="1"/>
        <v>0</v>
      </c>
      <c r="I72" s="189"/>
      <c r="J72" s="189"/>
      <c r="K72" s="189"/>
    </row>
    <row r="73" spans="1:11" s="188" customFormat="1" ht="15.95" customHeight="1" x14ac:dyDescent="0.2">
      <c r="A73" s="186">
        <v>46124</v>
      </c>
      <c r="B73" s="187">
        <v>0.33333333333333331</v>
      </c>
      <c r="C73" s="192">
        <f t="shared" si="2"/>
        <v>1</v>
      </c>
      <c r="D73" s="189" t="s">
        <v>264</v>
      </c>
      <c r="E73" s="189" t="s">
        <v>574</v>
      </c>
      <c r="F73" s="189" t="s">
        <v>668</v>
      </c>
      <c r="G73" s="189"/>
      <c r="H73" s="192">
        <f t="shared" si="1"/>
        <v>0</v>
      </c>
      <c r="I73" s="189"/>
      <c r="J73" s="189"/>
      <c r="K73" s="189"/>
    </row>
    <row r="74" spans="1:11" s="188" customFormat="1" ht="15.95" customHeight="1" x14ac:dyDescent="0.2">
      <c r="A74" s="186">
        <v>46124</v>
      </c>
      <c r="B74" s="187">
        <v>0.66666666666666663</v>
      </c>
      <c r="C74" s="192"/>
      <c r="D74" s="189" t="s">
        <v>695</v>
      </c>
      <c r="E74" s="189" t="s">
        <v>548</v>
      </c>
      <c r="F74" s="189" t="s">
        <v>232</v>
      </c>
      <c r="G74" s="187">
        <v>0.9</v>
      </c>
      <c r="H74" s="192">
        <f t="shared" si="1"/>
        <v>-21.6</v>
      </c>
      <c r="I74" s="189"/>
      <c r="J74" s="189"/>
      <c r="K74" s="189"/>
    </row>
    <row r="75" spans="1:11" s="188" customFormat="1" ht="15.95" customHeight="1" x14ac:dyDescent="0.2">
      <c r="A75" s="186">
        <v>46124</v>
      </c>
      <c r="B75" s="187">
        <v>0.33333333333333331</v>
      </c>
      <c r="C75" s="192">
        <f t="shared" si="2"/>
        <v>1</v>
      </c>
      <c r="D75" s="189" t="s">
        <v>695</v>
      </c>
      <c r="E75" s="189" t="s">
        <v>548</v>
      </c>
      <c r="F75" s="189" t="s">
        <v>232</v>
      </c>
      <c r="G75" s="187">
        <v>0.66666666666666663</v>
      </c>
      <c r="H75" s="192">
        <f t="shared" si="1"/>
        <v>5.6000000000000014</v>
      </c>
      <c r="I75" s="189"/>
      <c r="J75" s="189"/>
      <c r="K75" s="189"/>
    </row>
    <row r="76" spans="1:11" s="188" customFormat="1" ht="15.95" customHeight="1" x14ac:dyDescent="0.2">
      <c r="A76" s="186">
        <v>46124</v>
      </c>
      <c r="B76" s="187">
        <v>0.69444444444444442</v>
      </c>
      <c r="C76" s="192"/>
      <c r="D76" s="189" t="s">
        <v>35</v>
      </c>
      <c r="E76" s="189" t="s">
        <v>358</v>
      </c>
      <c r="F76" s="189" t="s">
        <v>771</v>
      </c>
      <c r="G76" s="187">
        <v>0.93125000000000002</v>
      </c>
      <c r="H76" s="192">
        <f t="shared" si="1"/>
        <v>-6.3500000000000014</v>
      </c>
      <c r="I76" s="189"/>
      <c r="J76" s="189"/>
      <c r="K76" s="189"/>
    </row>
    <row r="77" spans="1:11" s="188" customFormat="1" ht="15.95" customHeight="1" x14ac:dyDescent="0.2">
      <c r="A77" s="186">
        <v>46124</v>
      </c>
      <c r="B77" s="187">
        <v>0.3611111111111111</v>
      </c>
      <c r="C77" s="192">
        <f t="shared" si="2"/>
        <v>1</v>
      </c>
      <c r="D77" s="189" t="s">
        <v>35</v>
      </c>
      <c r="E77" s="189" t="s">
        <v>358</v>
      </c>
      <c r="F77" s="189" t="s">
        <v>771</v>
      </c>
      <c r="G77" s="187">
        <v>0.69444444444444442</v>
      </c>
      <c r="H77" s="192">
        <f t="shared" si="1"/>
        <v>5.6833333333333345</v>
      </c>
      <c r="I77" s="189"/>
      <c r="J77" s="189"/>
      <c r="K77" s="189"/>
    </row>
    <row r="78" spans="1:11" s="188" customFormat="1" ht="15.95" customHeight="1" x14ac:dyDescent="0.2">
      <c r="A78" s="186">
        <v>46124</v>
      </c>
      <c r="B78" s="187">
        <v>0.98958333333333337</v>
      </c>
      <c r="C78" s="192"/>
      <c r="D78" s="189" t="s">
        <v>793</v>
      </c>
      <c r="E78" s="189" t="s">
        <v>618</v>
      </c>
      <c r="F78" s="189" t="s">
        <v>668</v>
      </c>
      <c r="G78" s="189"/>
      <c r="H78" s="192">
        <f t="shared" ref="H78:H141" si="3">(G77-G78)/TIME(1,0,0)</f>
        <v>16.666666666666668</v>
      </c>
      <c r="I78" s="189"/>
      <c r="J78" s="189"/>
      <c r="K78" s="189"/>
    </row>
    <row r="79" spans="1:11" s="188" customFormat="1" ht="15.95" customHeight="1" x14ac:dyDescent="0.2">
      <c r="A79" s="186">
        <v>46124</v>
      </c>
      <c r="B79" s="187">
        <v>0.65625</v>
      </c>
      <c r="C79" s="192">
        <f t="shared" si="2"/>
        <v>1.0000000000000002</v>
      </c>
      <c r="D79" s="189" t="s">
        <v>793</v>
      </c>
      <c r="E79" s="189" t="s">
        <v>618</v>
      </c>
      <c r="F79" s="189" t="s">
        <v>668</v>
      </c>
      <c r="G79" s="189"/>
      <c r="H79" s="192">
        <f t="shared" si="3"/>
        <v>0</v>
      </c>
      <c r="I79" s="189"/>
      <c r="J79" s="189"/>
      <c r="K79" s="189"/>
    </row>
    <row r="80" spans="1:11" s="188" customFormat="1" ht="15.95" customHeight="1" x14ac:dyDescent="0.2">
      <c r="A80" s="186">
        <v>46124</v>
      </c>
      <c r="B80" s="187">
        <v>0.66666666666666663</v>
      </c>
      <c r="C80" s="192"/>
      <c r="D80" s="189" t="s">
        <v>210</v>
      </c>
      <c r="E80" s="189" t="s">
        <v>525</v>
      </c>
      <c r="F80" s="189" t="s">
        <v>668</v>
      </c>
      <c r="G80" s="189"/>
      <c r="H80" s="192">
        <f t="shared" si="3"/>
        <v>0</v>
      </c>
      <c r="I80" s="189"/>
      <c r="J80" s="189"/>
      <c r="K80" s="189"/>
    </row>
    <row r="81" spans="1:11" s="188" customFormat="1" ht="15.95" customHeight="1" x14ac:dyDescent="0.2">
      <c r="A81" s="186">
        <v>46124</v>
      </c>
      <c r="B81" s="187">
        <v>0.33333333333333331</v>
      </c>
      <c r="C81" s="192">
        <f t="shared" si="2"/>
        <v>1</v>
      </c>
      <c r="D81" s="189" t="s">
        <v>210</v>
      </c>
      <c r="E81" s="189" t="s">
        <v>525</v>
      </c>
      <c r="F81" s="189" t="s">
        <v>668</v>
      </c>
      <c r="G81" s="189"/>
      <c r="H81" s="192">
        <f t="shared" si="3"/>
        <v>0</v>
      </c>
      <c r="I81" s="189"/>
      <c r="J81" s="189"/>
      <c r="K81" s="189"/>
    </row>
    <row r="82" spans="1:11" s="188" customFormat="1" ht="15.95" customHeight="1" x14ac:dyDescent="0.2">
      <c r="A82" s="186">
        <v>46124</v>
      </c>
      <c r="B82" s="187">
        <v>0.66666666666666663</v>
      </c>
      <c r="C82" s="192"/>
      <c r="D82" s="189" t="s">
        <v>106</v>
      </c>
      <c r="E82" s="189" t="s">
        <v>430</v>
      </c>
      <c r="F82" s="189" t="s">
        <v>671</v>
      </c>
      <c r="G82" s="189"/>
      <c r="H82" s="192">
        <f t="shared" si="3"/>
        <v>0</v>
      </c>
      <c r="I82" s="189"/>
      <c r="J82" s="189"/>
      <c r="K82" s="189"/>
    </row>
    <row r="83" spans="1:11" s="188" customFormat="1" ht="15.95" customHeight="1" x14ac:dyDescent="0.2">
      <c r="A83" s="186">
        <v>46124</v>
      </c>
      <c r="B83" s="187">
        <v>0.33333333333333331</v>
      </c>
      <c r="C83" s="192">
        <f t="shared" si="2"/>
        <v>1</v>
      </c>
      <c r="D83" s="189" t="s">
        <v>106</v>
      </c>
      <c r="E83" s="189" t="s">
        <v>430</v>
      </c>
      <c r="F83" s="189" t="s">
        <v>671</v>
      </c>
      <c r="G83" s="189"/>
      <c r="H83" s="192">
        <f t="shared" si="3"/>
        <v>0</v>
      </c>
      <c r="I83" s="189"/>
      <c r="J83" s="189"/>
      <c r="K83" s="189"/>
    </row>
    <row r="84" spans="1:11" s="188" customFormat="1" ht="15.95" customHeight="1" x14ac:dyDescent="0.2">
      <c r="A84" s="186">
        <v>46124</v>
      </c>
      <c r="B84" s="187">
        <v>0.66666666666666663</v>
      </c>
      <c r="C84" s="192"/>
      <c r="D84" s="189" t="s">
        <v>236</v>
      </c>
      <c r="E84" s="189" t="s">
        <v>549</v>
      </c>
      <c r="F84" s="189" t="s">
        <v>232</v>
      </c>
      <c r="G84" s="189"/>
      <c r="H84" s="192">
        <f t="shared" si="3"/>
        <v>0</v>
      </c>
      <c r="I84" s="189"/>
      <c r="J84" s="189"/>
      <c r="K84" s="189"/>
    </row>
    <row r="85" spans="1:11" s="188" customFormat="1" ht="15.95" customHeight="1" x14ac:dyDescent="0.2">
      <c r="A85" s="186">
        <v>46124</v>
      </c>
      <c r="B85" s="187">
        <v>0.33333333333333331</v>
      </c>
      <c r="C85" s="192">
        <f t="shared" si="2"/>
        <v>1</v>
      </c>
      <c r="D85" s="189" t="s">
        <v>236</v>
      </c>
      <c r="E85" s="189" t="s">
        <v>549</v>
      </c>
      <c r="F85" s="189" t="s">
        <v>232</v>
      </c>
      <c r="G85" s="189"/>
      <c r="H85" s="192">
        <f t="shared" si="3"/>
        <v>0</v>
      </c>
      <c r="I85" s="189"/>
      <c r="J85" s="189"/>
      <c r="K85" s="189"/>
    </row>
    <row r="86" spans="1:11" s="188" customFormat="1" ht="15.95" customHeight="1" x14ac:dyDescent="0.2">
      <c r="A86" s="186">
        <v>46124</v>
      </c>
      <c r="B86" s="187">
        <v>0.66666666666666663</v>
      </c>
      <c r="C86" s="192"/>
      <c r="D86" s="189" t="s">
        <v>149</v>
      </c>
      <c r="E86" s="189" t="s">
        <v>469</v>
      </c>
      <c r="F86" s="189" t="s">
        <v>774</v>
      </c>
      <c r="G86" s="189"/>
      <c r="H86" s="192">
        <f t="shared" si="3"/>
        <v>0</v>
      </c>
      <c r="I86" s="189"/>
      <c r="J86" s="189"/>
      <c r="K86" s="189"/>
    </row>
    <row r="87" spans="1:11" s="188" customFormat="1" ht="15.95" customHeight="1" x14ac:dyDescent="0.2">
      <c r="A87" s="186">
        <v>46124</v>
      </c>
      <c r="B87" s="187">
        <v>0.33333333333333331</v>
      </c>
      <c r="C87" s="192">
        <f t="shared" si="2"/>
        <v>1</v>
      </c>
      <c r="D87" s="189" t="s">
        <v>149</v>
      </c>
      <c r="E87" s="189" t="s">
        <v>469</v>
      </c>
      <c r="F87" s="189" t="s">
        <v>774</v>
      </c>
      <c r="G87" s="189"/>
      <c r="H87" s="192">
        <f t="shared" si="3"/>
        <v>0</v>
      </c>
      <c r="I87" s="189"/>
      <c r="J87" s="189"/>
      <c r="K87" s="189"/>
    </row>
    <row r="88" spans="1:11" s="188" customFormat="1" ht="15.95" customHeight="1" x14ac:dyDescent="0.2">
      <c r="A88" s="186">
        <v>46124</v>
      </c>
      <c r="B88" s="187">
        <v>0.66666666666666663</v>
      </c>
      <c r="C88" s="192"/>
      <c r="D88" s="189" t="s">
        <v>795</v>
      </c>
      <c r="E88" s="189" t="s">
        <v>370</v>
      </c>
      <c r="F88" s="189" t="s">
        <v>796</v>
      </c>
      <c r="G88" s="189"/>
      <c r="H88" s="192">
        <f t="shared" si="3"/>
        <v>0</v>
      </c>
      <c r="I88" s="189"/>
      <c r="J88" s="189"/>
      <c r="K88" s="189"/>
    </row>
    <row r="89" spans="1:11" s="188" customFormat="1" ht="15.95" customHeight="1" x14ac:dyDescent="0.2">
      <c r="A89" s="186">
        <v>46124</v>
      </c>
      <c r="B89" s="187">
        <v>0.33333333333333331</v>
      </c>
      <c r="C89" s="192">
        <f t="shared" si="2"/>
        <v>1</v>
      </c>
      <c r="D89" s="189" t="s">
        <v>795</v>
      </c>
      <c r="E89" s="189" t="s">
        <v>370</v>
      </c>
      <c r="F89" s="189" t="s">
        <v>796</v>
      </c>
      <c r="G89" s="189"/>
      <c r="H89" s="192">
        <f t="shared" si="3"/>
        <v>0</v>
      </c>
      <c r="I89" s="189"/>
      <c r="J89" s="189"/>
      <c r="K89" s="189"/>
    </row>
    <row r="90" spans="1:11" s="188" customFormat="1" ht="15.95" customHeight="1" x14ac:dyDescent="0.2">
      <c r="A90" s="186">
        <v>46124</v>
      </c>
      <c r="B90" s="187">
        <v>0.66666666666666663</v>
      </c>
      <c r="C90" s="192"/>
      <c r="D90" s="189" t="s">
        <v>73</v>
      </c>
      <c r="E90" s="189" t="s">
        <v>395</v>
      </c>
      <c r="F90" s="189" t="s">
        <v>668</v>
      </c>
      <c r="G90" s="189"/>
      <c r="H90" s="192">
        <f t="shared" si="3"/>
        <v>0</v>
      </c>
      <c r="I90" s="189"/>
      <c r="J90" s="189"/>
      <c r="K90" s="189"/>
    </row>
    <row r="91" spans="1:11" s="188" customFormat="1" ht="15.95" customHeight="1" x14ac:dyDescent="0.2">
      <c r="A91" s="186">
        <v>46124</v>
      </c>
      <c r="B91" s="187">
        <v>0.33333333333333331</v>
      </c>
      <c r="C91" s="192">
        <f t="shared" si="2"/>
        <v>1</v>
      </c>
      <c r="D91" s="189" t="s">
        <v>73</v>
      </c>
      <c r="E91" s="189" t="s">
        <v>395</v>
      </c>
      <c r="F91" s="189" t="s">
        <v>668</v>
      </c>
      <c r="G91" s="189"/>
      <c r="H91" s="192">
        <f t="shared" si="3"/>
        <v>0</v>
      </c>
      <c r="I91" s="189"/>
      <c r="J91" s="189"/>
      <c r="K91" s="189"/>
    </row>
    <row r="92" spans="1:11" s="188" customFormat="1" ht="15.95" customHeight="1" x14ac:dyDescent="0.2">
      <c r="A92" s="186">
        <v>46124</v>
      </c>
      <c r="B92" s="187">
        <v>0.66666666666666663</v>
      </c>
      <c r="C92" s="192"/>
      <c r="D92" s="189" t="s">
        <v>74</v>
      </c>
      <c r="E92" s="189" t="s">
        <v>396</v>
      </c>
      <c r="F92" s="189" t="s">
        <v>674</v>
      </c>
      <c r="G92" s="189"/>
      <c r="H92" s="192">
        <f t="shared" si="3"/>
        <v>0</v>
      </c>
      <c r="I92" s="189"/>
      <c r="J92" s="189"/>
      <c r="K92" s="189"/>
    </row>
    <row r="93" spans="1:11" s="188" customFormat="1" ht="15.95" customHeight="1" x14ac:dyDescent="0.2">
      <c r="A93" s="186">
        <v>46124</v>
      </c>
      <c r="B93" s="187">
        <v>0.33333333333333331</v>
      </c>
      <c r="C93" s="192">
        <f t="shared" si="2"/>
        <v>1</v>
      </c>
      <c r="D93" s="189" t="s">
        <v>74</v>
      </c>
      <c r="E93" s="189" t="s">
        <v>396</v>
      </c>
      <c r="F93" s="189" t="s">
        <v>674</v>
      </c>
      <c r="G93" s="189"/>
      <c r="H93" s="192">
        <f t="shared" si="3"/>
        <v>0</v>
      </c>
      <c r="I93" s="189"/>
      <c r="J93" s="189"/>
      <c r="K93" s="189"/>
    </row>
    <row r="94" spans="1:11" s="188" customFormat="1" ht="15.95" customHeight="1" x14ac:dyDescent="0.2">
      <c r="A94" s="186">
        <v>46124</v>
      </c>
      <c r="B94" s="187">
        <v>0.66666666666666663</v>
      </c>
      <c r="C94" s="192"/>
      <c r="D94" s="189" t="s">
        <v>75</v>
      </c>
      <c r="E94" s="189" t="s">
        <v>397</v>
      </c>
      <c r="F94" s="189" t="s">
        <v>674</v>
      </c>
      <c r="G94" s="189"/>
      <c r="H94" s="192">
        <f t="shared" si="3"/>
        <v>0</v>
      </c>
      <c r="I94" s="189"/>
      <c r="J94" s="189"/>
      <c r="K94" s="189"/>
    </row>
    <row r="95" spans="1:11" s="188" customFormat="1" ht="15.95" customHeight="1" x14ac:dyDescent="0.2">
      <c r="A95" s="186">
        <v>46124</v>
      </c>
      <c r="B95" s="187">
        <v>0.33333333333333331</v>
      </c>
      <c r="C95" s="192">
        <f t="shared" si="2"/>
        <v>1</v>
      </c>
      <c r="D95" s="189" t="s">
        <v>75</v>
      </c>
      <c r="E95" s="189" t="s">
        <v>397</v>
      </c>
      <c r="F95" s="189" t="s">
        <v>674</v>
      </c>
      <c r="G95" s="189"/>
      <c r="H95" s="192">
        <f t="shared" si="3"/>
        <v>0</v>
      </c>
      <c r="I95" s="189"/>
      <c r="J95" s="189"/>
      <c r="K95" s="189"/>
    </row>
    <row r="96" spans="1:11" s="188" customFormat="1" ht="15.95" customHeight="1" x14ac:dyDescent="0.2">
      <c r="A96" s="186">
        <v>46124</v>
      </c>
      <c r="B96" s="187">
        <v>0.66666666666666663</v>
      </c>
      <c r="C96" s="192"/>
      <c r="D96" s="189" t="s">
        <v>696</v>
      </c>
      <c r="E96" s="189" t="s">
        <v>550</v>
      </c>
      <c r="F96" s="189" t="s">
        <v>255</v>
      </c>
      <c r="G96" s="189"/>
      <c r="H96" s="192">
        <f t="shared" si="3"/>
        <v>0</v>
      </c>
      <c r="I96" s="189"/>
      <c r="J96" s="189"/>
      <c r="K96" s="189"/>
    </row>
    <row r="97" spans="1:11" s="188" customFormat="1" ht="15.95" customHeight="1" x14ac:dyDescent="0.2">
      <c r="A97" s="186">
        <v>46124</v>
      </c>
      <c r="B97" s="187">
        <v>0.33333333333333331</v>
      </c>
      <c r="C97" s="192">
        <f t="shared" si="2"/>
        <v>1</v>
      </c>
      <c r="D97" s="189" t="s">
        <v>696</v>
      </c>
      <c r="E97" s="189" t="s">
        <v>550</v>
      </c>
      <c r="F97" s="189" t="s">
        <v>255</v>
      </c>
      <c r="G97" s="189"/>
      <c r="H97" s="192">
        <f t="shared" si="3"/>
        <v>0</v>
      </c>
      <c r="I97" s="189"/>
      <c r="J97" s="189"/>
      <c r="K97" s="189"/>
    </row>
    <row r="98" spans="1:11" s="188" customFormat="1" ht="15.95" customHeight="1" x14ac:dyDescent="0.2">
      <c r="A98" s="186">
        <v>46124</v>
      </c>
      <c r="B98" s="187">
        <v>0.66666666666666663</v>
      </c>
      <c r="C98" s="192"/>
      <c r="D98" s="189" t="s">
        <v>265</v>
      </c>
      <c r="E98" s="189" t="s">
        <v>575</v>
      </c>
      <c r="F98" s="189" t="s">
        <v>766</v>
      </c>
      <c r="G98" s="189"/>
      <c r="H98" s="192">
        <f t="shared" si="3"/>
        <v>0</v>
      </c>
      <c r="I98" s="189"/>
      <c r="J98" s="189"/>
      <c r="K98" s="189"/>
    </row>
    <row r="99" spans="1:11" s="188" customFormat="1" ht="15.95" customHeight="1" x14ac:dyDescent="0.2">
      <c r="A99" s="186">
        <v>46124</v>
      </c>
      <c r="B99" s="187">
        <v>0.33333333333333331</v>
      </c>
      <c r="C99" s="192">
        <f t="shared" si="2"/>
        <v>1</v>
      </c>
      <c r="D99" s="189" t="s">
        <v>265</v>
      </c>
      <c r="E99" s="189" t="s">
        <v>575</v>
      </c>
      <c r="F99" s="189" t="s">
        <v>766</v>
      </c>
      <c r="G99" s="189"/>
      <c r="H99" s="192">
        <f t="shared" si="3"/>
        <v>0</v>
      </c>
      <c r="I99" s="189"/>
      <c r="J99" s="189"/>
      <c r="K99" s="189"/>
    </row>
    <row r="100" spans="1:11" s="188" customFormat="1" ht="15.95" customHeight="1" x14ac:dyDescent="0.2">
      <c r="A100" s="186">
        <v>46124</v>
      </c>
      <c r="B100" s="187">
        <v>0.66666666666666663</v>
      </c>
      <c r="C100" s="192"/>
      <c r="D100" s="189" t="s">
        <v>278</v>
      </c>
      <c r="E100" s="189" t="s">
        <v>586</v>
      </c>
      <c r="F100" s="189" t="s">
        <v>275</v>
      </c>
      <c r="G100" s="189"/>
      <c r="H100" s="192">
        <f t="shared" si="3"/>
        <v>0</v>
      </c>
      <c r="I100" s="189"/>
      <c r="J100" s="189"/>
      <c r="K100" s="189"/>
    </row>
    <row r="101" spans="1:11" s="188" customFormat="1" ht="15.95" customHeight="1" x14ac:dyDescent="0.2">
      <c r="A101" s="186">
        <v>46124</v>
      </c>
      <c r="B101" s="187">
        <v>0.33333333333333331</v>
      </c>
      <c r="C101" s="192">
        <f t="shared" si="2"/>
        <v>1</v>
      </c>
      <c r="D101" s="189" t="s">
        <v>278</v>
      </c>
      <c r="E101" s="189" t="s">
        <v>586</v>
      </c>
      <c r="F101" s="189" t="s">
        <v>275</v>
      </c>
      <c r="G101" s="189"/>
      <c r="H101" s="192">
        <f t="shared" si="3"/>
        <v>0</v>
      </c>
      <c r="I101" s="189"/>
      <c r="J101" s="189"/>
      <c r="K101" s="189"/>
    </row>
    <row r="102" spans="1:11" s="188" customFormat="1" ht="15.95" customHeight="1" x14ac:dyDescent="0.2">
      <c r="A102" s="186">
        <v>46124</v>
      </c>
      <c r="B102" s="187">
        <v>0.66666666666666663</v>
      </c>
      <c r="C102" s="192"/>
      <c r="D102" s="189" t="s">
        <v>761</v>
      </c>
      <c r="E102" s="189" t="s">
        <v>539</v>
      </c>
      <c r="F102" s="189" t="s">
        <v>224</v>
      </c>
      <c r="G102" s="189"/>
      <c r="H102" s="192">
        <f t="shared" si="3"/>
        <v>0</v>
      </c>
      <c r="I102" s="189"/>
      <c r="J102" s="189"/>
      <c r="K102" s="189"/>
    </row>
    <row r="103" spans="1:11" s="188" customFormat="1" ht="15.95" customHeight="1" x14ac:dyDescent="0.2">
      <c r="A103" s="186">
        <v>46124</v>
      </c>
      <c r="B103" s="187">
        <v>0.33333333333333331</v>
      </c>
      <c r="C103" s="192">
        <f t="shared" si="2"/>
        <v>1</v>
      </c>
      <c r="D103" s="189" t="s">
        <v>761</v>
      </c>
      <c r="E103" s="189" t="s">
        <v>539</v>
      </c>
      <c r="F103" s="189" t="s">
        <v>224</v>
      </c>
      <c r="G103" s="189"/>
      <c r="H103" s="192">
        <f t="shared" si="3"/>
        <v>0</v>
      </c>
      <c r="I103" s="189"/>
      <c r="J103" s="189"/>
      <c r="K103" s="189"/>
    </row>
    <row r="104" spans="1:11" s="188" customFormat="1" ht="15.95" customHeight="1" x14ac:dyDescent="0.2">
      <c r="A104" s="186">
        <v>46124</v>
      </c>
      <c r="B104" s="187">
        <v>0.66666666666666663</v>
      </c>
      <c r="C104" s="192"/>
      <c r="D104" s="189" t="s">
        <v>49</v>
      </c>
      <c r="E104" s="189" t="s">
        <v>371</v>
      </c>
      <c r="F104" s="189"/>
      <c r="G104" s="189"/>
      <c r="H104" s="192">
        <f t="shared" si="3"/>
        <v>0</v>
      </c>
      <c r="I104" s="189"/>
      <c r="J104" s="189"/>
      <c r="K104" s="189"/>
    </row>
    <row r="105" spans="1:11" s="188" customFormat="1" ht="15.95" customHeight="1" x14ac:dyDescent="0.2">
      <c r="A105" s="186">
        <v>46124</v>
      </c>
      <c r="B105" s="187">
        <v>0.33333333333333331</v>
      </c>
      <c r="C105" s="192">
        <f t="shared" si="2"/>
        <v>1</v>
      </c>
      <c r="D105" s="189" t="s">
        <v>49</v>
      </c>
      <c r="E105" s="189" t="s">
        <v>371</v>
      </c>
      <c r="F105" s="189"/>
      <c r="G105" s="189"/>
      <c r="H105" s="192">
        <f t="shared" si="3"/>
        <v>0</v>
      </c>
      <c r="I105" s="189"/>
      <c r="J105" s="189"/>
      <c r="K105" s="189"/>
    </row>
    <row r="106" spans="1:11" s="188" customFormat="1" ht="15.95" customHeight="1" x14ac:dyDescent="0.2">
      <c r="A106" s="186">
        <v>46124</v>
      </c>
      <c r="B106" s="187">
        <v>0.66666666666666663</v>
      </c>
      <c r="C106" s="192"/>
      <c r="D106" s="189" t="s">
        <v>107</v>
      </c>
      <c r="E106" s="189" t="s">
        <v>431</v>
      </c>
      <c r="F106" s="189" t="s">
        <v>101</v>
      </c>
      <c r="G106" s="189"/>
      <c r="H106" s="192">
        <f t="shared" si="3"/>
        <v>0</v>
      </c>
      <c r="I106" s="189"/>
      <c r="J106" s="189"/>
      <c r="K106" s="189"/>
    </row>
    <row r="107" spans="1:11" s="188" customFormat="1" ht="15.95" customHeight="1" x14ac:dyDescent="0.2">
      <c r="A107" s="186">
        <v>46124</v>
      </c>
      <c r="B107" s="187">
        <v>0.33333333333333331</v>
      </c>
      <c r="C107" s="192">
        <f t="shared" si="2"/>
        <v>1</v>
      </c>
      <c r="D107" s="189" t="s">
        <v>107</v>
      </c>
      <c r="E107" s="189" t="s">
        <v>431</v>
      </c>
      <c r="F107" s="189" t="s">
        <v>101</v>
      </c>
      <c r="G107" s="189"/>
      <c r="H107" s="192">
        <f t="shared" si="3"/>
        <v>0</v>
      </c>
      <c r="I107" s="189"/>
      <c r="J107" s="189"/>
      <c r="K107" s="189"/>
    </row>
    <row r="108" spans="1:11" s="188" customFormat="1" ht="15.95" customHeight="1" x14ac:dyDescent="0.2">
      <c r="A108" s="186">
        <v>46124</v>
      </c>
      <c r="B108" s="187">
        <v>0.66666666666666663</v>
      </c>
      <c r="C108" s="192"/>
      <c r="D108" s="189" t="s">
        <v>201</v>
      </c>
      <c r="E108" s="189" t="s">
        <v>517</v>
      </c>
      <c r="F108" s="189" t="s">
        <v>199</v>
      </c>
      <c r="G108" s="189"/>
      <c r="H108" s="192">
        <f t="shared" si="3"/>
        <v>0</v>
      </c>
      <c r="I108" s="189"/>
      <c r="J108" s="189"/>
      <c r="K108" s="189"/>
    </row>
    <row r="109" spans="1:11" s="188" customFormat="1" ht="15.95" customHeight="1" x14ac:dyDescent="0.2">
      <c r="A109" s="186">
        <v>46124</v>
      </c>
      <c r="B109" s="187">
        <v>0.33333333333333331</v>
      </c>
      <c r="C109" s="192">
        <f t="shared" si="2"/>
        <v>1</v>
      </c>
      <c r="D109" s="189" t="s">
        <v>201</v>
      </c>
      <c r="E109" s="189" t="s">
        <v>517</v>
      </c>
      <c r="F109" s="189" t="s">
        <v>199</v>
      </c>
      <c r="G109" s="189"/>
      <c r="H109" s="192">
        <f t="shared" si="3"/>
        <v>0</v>
      </c>
      <c r="I109" s="189"/>
      <c r="J109" s="189"/>
      <c r="K109" s="189"/>
    </row>
    <row r="110" spans="1:11" s="188" customFormat="1" ht="15.95" customHeight="1" x14ac:dyDescent="0.2">
      <c r="A110" s="186">
        <v>46124</v>
      </c>
      <c r="B110" s="187">
        <v>0.66666666666666663</v>
      </c>
      <c r="C110" s="192"/>
      <c r="D110" s="189" t="s">
        <v>266</v>
      </c>
      <c r="E110" s="189" t="s">
        <v>576</v>
      </c>
      <c r="F110" s="189" t="s">
        <v>766</v>
      </c>
      <c r="G110" s="189"/>
      <c r="H110" s="192">
        <f t="shared" si="3"/>
        <v>0</v>
      </c>
      <c r="I110" s="189"/>
      <c r="J110" s="189"/>
      <c r="K110" s="189"/>
    </row>
    <row r="111" spans="1:11" s="188" customFormat="1" ht="15.95" customHeight="1" x14ac:dyDescent="0.2">
      <c r="A111" s="186">
        <v>46124</v>
      </c>
      <c r="B111" s="187">
        <v>0.33333333333333331</v>
      </c>
      <c r="C111" s="192">
        <f t="shared" si="2"/>
        <v>1</v>
      </c>
      <c r="D111" s="189" t="s">
        <v>266</v>
      </c>
      <c r="E111" s="189" t="s">
        <v>576</v>
      </c>
      <c r="F111" s="189" t="s">
        <v>766</v>
      </c>
      <c r="G111" s="189"/>
      <c r="H111" s="192">
        <f t="shared" si="3"/>
        <v>0</v>
      </c>
      <c r="I111" s="189"/>
      <c r="J111" s="189"/>
      <c r="K111" s="189"/>
    </row>
    <row r="112" spans="1:11" s="188" customFormat="1" ht="15.95" customHeight="1" x14ac:dyDescent="0.2">
      <c r="A112" s="186">
        <v>46124</v>
      </c>
      <c r="B112" s="187">
        <v>0.66666666666666663</v>
      </c>
      <c r="C112" s="192"/>
      <c r="D112" s="189" t="s">
        <v>699</v>
      </c>
      <c r="E112" s="189" t="s">
        <v>540</v>
      </c>
      <c r="F112" s="189" t="s">
        <v>674</v>
      </c>
      <c r="G112" s="189"/>
      <c r="H112" s="192">
        <f t="shared" si="3"/>
        <v>0</v>
      </c>
      <c r="I112" s="189"/>
      <c r="J112" s="189"/>
      <c r="K112" s="189"/>
    </row>
    <row r="113" spans="1:11" s="188" customFormat="1" ht="15.95" customHeight="1" x14ac:dyDescent="0.2">
      <c r="A113" s="186">
        <v>46124</v>
      </c>
      <c r="B113" s="187">
        <v>0.33333333333333331</v>
      </c>
      <c r="C113" s="192">
        <f t="shared" si="2"/>
        <v>1</v>
      </c>
      <c r="D113" s="189" t="s">
        <v>699</v>
      </c>
      <c r="E113" s="189" t="s">
        <v>540</v>
      </c>
      <c r="F113" s="189" t="s">
        <v>674</v>
      </c>
      <c r="G113" s="189"/>
      <c r="H113" s="192">
        <f t="shared" si="3"/>
        <v>0</v>
      </c>
      <c r="I113" s="189"/>
      <c r="J113" s="189"/>
      <c r="K113" s="189"/>
    </row>
    <row r="114" spans="1:11" s="188" customFormat="1" ht="15.95" customHeight="1" x14ac:dyDescent="0.2">
      <c r="A114" s="186">
        <v>46124</v>
      </c>
      <c r="B114" s="187">
        <v>0.66666666666666663</v>
      </c>
      <c r="C114" s="192"/>
      <c r="D114" s="189" t="s">
        <v>267</v>
      </c>
      <c r="E114" s="189" t="s">
        <v>577</v>
      </c>
      <c r="F114" s="189" t="s">
        <v>39</v>
      </c>
      <c r="G114" s="189"/>
      <c r="H114" s="192">
        <f t="shared" si="3"/>
        <v>0</v>
      </c>
      <c r="I114" s="189"/>
      <c r="J114" s="189"/>
      <c r="K114" s="189"/>
    </row>
    <row r="115" spans="1:11" s="188" customFormat="1" ht="15.95" customHeight="1" x14ac:dyDescent="0.2">
      <c r="A115" s="186">
        <v>46124</v>
      </c>
      <c r="B115" s="187">
        <v>0.33333333333333331</v>
      </c>
      <c r="C115" s="192">
        <f t="shared" si="2"/>
        <v>1</v>
      </c>
      <c r="D115" s="189" t="s">
        <v>267</v>
      </c>
      <c r="E115" s="189" t="s">
        <v>577</v>
      </c>
      <c r="F115" s="189" t="s">
        <v>39</v>
      </c>
      <c r="G115" s="189"/>
      <c r="H115" s="192">
        <f t="shared" si="3"/>
        <v>0</v>
      </c>
      <c r="I115" s="189"/>
      <c r="J115" s="189"/>
      <c r="K115" s="189"/>
    </row>
    <row r="116" spans="1:11" s="188" customFormat="1" ht="15.95" customHeight="1" x14ac:dyDescent="0.2">
      <c r="A116" s="186">
        <v>46124</v>
      </c>
      <c r="B116" s="187">
        <v>0.66666666666666663</v>
      </c>
      <c r="C116" s="192"/>
      <c r="D116" s="189" t="s">
        <v>268</v>
      </c>
      <c r="E116" s="189" t="s">
        <v>578</v>
      </c>
      <c r="F116" s="189"/>
      <c r="G116" s="189"/>
      <c r="H116" s="192">
        <f t="shared" si="3"/>
        <v>0</v>
      </c>
      <c r="I116" s="189"/>
      <c r="J116" s="189"/>
      <c r="K116" s="189"/>
    </row>
    <row r="117" spans="1:11" s="188" customFormat="1" ht="15.95" customHeight="1" x14ac:dyDescent="0.2">
      <c r="A117" s="186">
        <v>46124</v>
      </c>
      <c r="B117" s="187">
        <v>0.33333333333333331</v>
      </c>
      <c r="C117" s="192">
        <f t="shared" si="2"/>
        <v>1</v>
      </c>
      <c r="D117" s="189" t="s">
        <v>268</v>
      </c>
      <c r="E117" s="189" t="s">
        <v>578</v>
      </c>
      <c r="F117" s="189"/>
      <c r="G117" s="189"/>
      <c r="H117" s="192">
        <f t="shared" si="3"/>
        <v>0</v>
      </c>
      <c r="I117" s="189"/>
      <c r="J117" s="189"/>
      <c r="K117" s="189"/>
    </row>
    <row r="118" spans="1:11" s="188" customFormat="1" ht="15.95" customHeight="1" x14ac:dyDescent="0.2">
      <c r="A118" s="186">
        <v>46124</v>
      </c>
      <c r="B118" s="187">
        <v>0.66666666666666663</v>
      </c>
      <c r="C118" s="192"/>
      <c r="D118" s="189" t="s">
        <v>151</v>
      </c>
      <c r="E118" s="189" t="s">
        <v>470</v>
      </c>
      <c r="F118" s="189" t="s">
        <v>668</v>
      </c>
      <c r="G118" s="189"/>
      <c r="H118" s="192">
        <f t="shared" si="3"/>
        <v>0</v>
      </c>
      <c r="I118" s="189"/>
      <c r="J118" s="189"/>
      <c r="K118" s="189"/>
    </row>
    <row r="119" spans="1:11" s="188" customFormat="1" ht="15.95" customHeight="1" x14ac:dyDescent="0.2">
      <c r="A119" s="186">
        <v>46124</v>
      </c>
      <c r="B119" s="187">
        <v>0.33333333333333331</v>
      </c>
      <c r="C119" s="192">
        <f t="shared" si="2"/>
        <v>1</v>
      </c>
      <c r="D119" s="189" t="s">
        <v>151</v>
      </c>
      <c r="E119" s="189" t="s">
        <v>470</v>
      </c>
      <c r="F119" s="189" t="s">
        <v>668</v>
      </c>
      <c r="G119" s="189"/>
      <c r="H119" s="192">
        <f t="shared" si="3"/>
        <v>0</v>
      </c>
      <c r="I119" s="189"/>
      <c r="J119" s="189"/>
      <c r="K119" s="189"/>
    </row>
    <row r="120" spans="1:11" s="188" customFormat="1" ht="15.95" customHeight="1" x14ac:dyDescent="0.2">
      <c r="A120" s="186">
        <v>46124</v>
      </c>
      <c r="B120" s="187">
        <v>0.98958333333333337</v>
      </c>
      <c r="C120" s="192"/>
      <c r="D120" s="189" t="s">
        <v>669</v>
      </c>
      <c r="E120" s="189" t="s">
        <v>610</v>
      </c>
      <c r="F120" s="189" t="s">
        <v>180</v>
      </c>
      <c r="G120" s="189"/>
      <c r="H120" s="192">
        <f t="shared" si="3"/>
        <v>0</v>
      </c>
      <c r="I120" s="189"/>
      <c r="J120" s="189"/>
      <c r="K120" s="189"/>
    </row>
    <row r="121" spans="1:11" s="188" customFormat="1" ht="15.95" customHeight="1" x14ac:dyDescent="0.2">
      <c r="A121" s="186">
        <v>46124</v>
      </c>
      <c r="B121" s="187">
        <v>0.65625</v>
      </c>
      <c r="C121" s="192">
        <f t="shared" si="2"/>
        <v>1.0000000000000002</v>
      </c>
      <c r="D121" s="189" t="s">
        <v>669</v>
      </c>
      <c r="E121" s="189" t="s">
        <v>610</v>
      </c>
      <c r="F121" s="189" t="s">
        <v>180</v>
      </c>
      <c r="G121" s="189"/>
      <c r="H121" s="192">
        <f t="shared" si="3"/>
        <v>0</v>
      </c>
      <c r="I121" s="189"/>
      <c r="J121" s="189"/>
      <c r="K121" s="189"/>
    </row>
    <row r="122" spans="1:11" s="188" customFormat="1" ht="15.95" customHeight="1" x14ac:dyDescent="0.2">
      <c r="A122" s="186">
        <v>46124</v>
      </c>
      <c r="B122" s="187">
        <v>0.66666666666666663</v>
      </c>
      <c r="C122" s="192"/>
      <c r="D122" s="189" t="s">
        <v>238</v>
      </c>
      <c r="E122" s="189" t="s">
        <v>551</v>
      </c>
      <c r="F122" s="189" t="s">
        <v>668</v>
      </c>
      <c r="G122" s="189"/>
      <c r="H122" s="192">
        <f t="shared" si="3"/>
        <v>0</v>
      </c>
      <c r="I122" s="189"/>
      <c r="J122" s="189"/>
      <c r="K122" s="189"/>
    </row>
    <row r="123" spans="1:11" s="188" customFormat="1" ht="15.95" customHeight="1" x14ac:dyDescent="0.2">
      <c r="A123" s="186">
        <v>46124</v>
      </c>
      <c r="B123" s="187">
        <v>0.33333333333333331</v>
      </c>
      <c r="C123" s="192">
        <f t="shared" si="2"/>
        <v>1</v>
      </c>
      <c r="D123" s="189" t="s">
        <v>238</v>
      </c>
      <c r="E123" s="189" t="s">
        <v>551</v>
      </c>
      <c r="F123" s="189" t="s">
        <v>668</v>
      </c>
      <c r="G123" s="189"/>
      <c r="H123" s="192">
        <f t="shared" si="3"/>
        <v>0</v>
      </c>
      <c r="I123" s="189"/>
      <c r="J123" s="189"/>
      <c r="K123" s="189"/>
    </row>
    <row r="124" spans="1:11" s="188" customFormat="1" ht="15.95" customHeight="1" x14ac:dyDescent="0.2">
      <c r="A124" s="186">
        <v>46124</v>
      </c>
      <c r="B124" s="187">
        <v>0.66666666666666663</v>
      </c>
      <c r="C124" s="192"/>
      <c r="D124" s="189" t="s">
        <v>108</v>
      </c>
      <c r="E124" s="189" t="s">
        <v>432</v>
      </c>
      <c r="F124" s="189" t="s">
        <v>668</v>
      </c>
      <c r="G124" s="189"/>
      <c r="H124" s="192">
        <f t="shared" si="3"/>
        <v>0</v>
      </c>
      <c r="I124" s="189"/>
      <c r="J124" s="189"/>
      <c r="K124" s="189"/>
    </row>
    <row r="125" spans="1:11" s="188" customFormat="1" ht="15.95" customHeight="1" x14ac:dyDescent="0.2">
      <c r="A125" s="186">
        <v>46124</v>
      </c>
      <c r="B125" s="187">
        <v>0.33333333333333331</v>
      </c>
      <c r="C125" s="192">
        <f t="shared" si="2"/>
        <v>1</v>
      </c>
      <c r="D125" s="189" t="s">
        <v>108</v>
      </c>
      <c r="E125" s="189" t="s">
        <v>432</v>
      </c>
      <c r="F125" s="189" t="s">
        <v>668</v>
      </c>
      <c r="G125" s="189"/>
      <c r="H125" s="192">
        <f t="shared" si="3"/>
        <v>0</v>
      </c>
      <c r="I125" s="189"/>
      <c r="J125" s="189"/>
      <c r="K125" s="189"/>
    </row>
    <row r="126" spans="1:11" s="188" customFormat="1" ht="15.95" customHeight="1" x14ac:dyDescent="0.2">
      <c r="A126" s="186">
        <v>46124</v>
      </c>
      <c r="B126" s="187">
        <v>0.66666666666666663</v>
      </c>
      <c r="C126" s="192"/>
      <c r="D126" s="189" t="s">
        <v>158</v>
      </c>
      <c r="E126" s="189" t="s">
        <v>476</v>
      </c>
      <c r="F126" s="189" t="s">
        <v>216</v>
      </c>
      <c r="G126" s="189"/>
      <c r="H126" s="192">
        <f t="shared" si="3"/>
        <v>0</v>
      </c>
      <c r="I126" s="189"/>
      <c r="J126" s="189"/>
      <c r="K126" s="189"/>
    </row>
    <row r="127" spans="1:11" s="188" customFormat="1" ht="15.95" customHeight="1" x14ac:dyDescent="0.2">
      <c r="A127" s="186">
        <v>46124</v>
      </c>
      <c r="B127" s="187">
        <v>0.33333333333333331</v>
      </c>
      <c r="C127" s="192">
        <f t="shared" si="2"/>
        <v>1</v>
      </c>
      <c r="D127" s="189" t="s">
        <v>158</v>
      </c>
      <c r="E127" s="189" t="s">
        <v>476</v>
      </c>
      <c r="F127" s="189" t="s">
        <v>216</v>
      </c>
      <c r="G127" s="189"/>
      <c r="H127" s="192">
        <f t="shared" si="3"/>
        <v>0</v>
      </c>
      <c r="I127" s="189"/>
      <c r="J127" s="189"/>
      <c r="K127" s="189"/>
    </row>
    <row r="128" spans="1:11" s="188" customFormat="1" ht="15.95" customHeight="1" x14ac:dyDescent="0.2">
      <c r="A128" s="186">
        <v>46124</v>
      </c>
      <c r="B128" s="187">
        <v>0.66666666666666663</v>
      </c>
      <c r="C128" s="192"/>
      <c r="D128" s="189" t="s">
        <v>29</v>
      </c>
      <c r="E128" s="189" t="s">
        <v>352</v>
      </c>
      <c r="F128" s="189" t="s">
        <v>671</v>
      </c>
      <c r="G128" s="189"/>
      <c r="H128" s="192">
        <f t="shared" si="3"/>
        <v>0</v>
      </c>
      <c r="I128" s="189"/>
      <c r="J128" s="189"/>
      <c r="K128" s="189"/>
    </row>
    <row r="129" spans="1:11" s="188" customFormat="1" ht="15.95" customHeight="1" x14ac:dyDescent="0.2">
      <c r="A129" s="186">
        <v>46124</v>
      </c>
      <c r="B129" s="187">
        <v>0.33333333333333331</v>
      </c>
      <c r="C129" s="192">
        <f t="shared" si="2"/>
        <v>1</v>
      </c>
      <c r="D129" s="189" t="s">
        <v>29</v>
      </c>
      <c r="E129" s="189" t="s">
        <v>352</v>
      </c>
      <c r="F129" s="189" t="s">
        <v>671</v>
      </c>
      <c r="G129" s="189"/>
      <c r="H129" s="192">
        <f t="shared" si="3"/>
        <v>0</v>
      </c>
      <c r="I129" s="189"/>
      <c r="J129" s="189"/>
      <c r="K129" s="189"/>
    </row>
    <row r="130" spans="1:11" s="188" customFormat="1" ht="15.95" customHeight="1" x14ac:dyDescent="0.2">
      <c r="A130" s="186">
        <v>46124</v>
      </c>
      <c r="B130" s="187">
        <v>0.66666666666666663</v>
      </c>
      <c r="C130" s="192"/>
      <c r="D130" s="189" t="s">
        <v>239</v>
      </c>
      <c r="E130" s="189" t="s">
        <v>552</v>
      </c>
      <c r="F130" s="189" t="s">
        <v>232</v>
      </c>
      <c r="G130" s="189"/>
      <c r="H130" s="192">
        <f t="shared" si="3"/>
        <v>0</v>
      </c>
      <c r="I130" s="189"/>
      <c r="J130" s="189"/>
      <c r="K130" s="189"/>
    </row>
    <row r="131" spans="1:11" s="188" customFormat="1" ht="15.95" customHeight="1" x14ac:dyDescent="0.2">
      <c r="A131" s="186">
        <v>46124</v>
      </c>
      <c r="B131" s="187">
        <v>0.33333333333333331</v>
      </c>
      <c r="C131" s="192">
        <f t="shared" si="2"/>
        <v>1</v>
      </c>
      <c r="D131" s="189" t="s">
        <v>239</v>
      </c>
      <c r="E131" s="189" t="s">
        <v>552</v>
      </c>
      <c r="F131" s="189" t="s">
        <v>232</v>
      </c>
      <c r="G131" s="189"/>
      <c r="H131" s="192">
        <f t="shared" si="3"/>
        <v>0</v>
      </c>
      <c r="I131" s="189"/>
      <c r="J131" s="189"/>
      <c r="K131" s="189"/>
    </row>
    <row r="132" spans="1:11" s="188" customFormat="1" ht="15.95" customHeight="1" x14ac:dyDescent="0.2">
      <c r="A132" s="186">
        <v>46124</v>
      </c>
      <c r="B132" s="187">
        <v>0.66666666666666663</v>
      </c>
      <c r="C132" s="192"/>
      <c r="D132" s="189" t="s">
        <v>240</v>
      </c>
      <c r="E132" s="189" t="s">
        <v>553</v>
      </c>
      <c r="F132" s="189" t="s">
        <v>232</v>
      </c>
      <c r="G132" s="189"/>
      <c r="H132" s="192">
        <f t="shared" si="3"/>
        <v>0</v>
      </c>
      <c r="I132" s="189"/>
      <c r="J132" s="189"/>
      <c r="K132" s="189"/>
    </row>
    <row r="133" spans="1:11" s="188" customFormat="1" ht="15.95" customHeight="1" x14ac:dyDescent="0.2">
      <c r="A133" s="186">
        <v>46124</v>
      </c>
      <c r="B133" s="187">
        <v>0.33333333333333331</v>
      </c>
      <c r="C133" s="192">
        <f t="shared" ref="C133:C193" si="4">(B132-B133)/TIME(8,0,0)</f>
        <v>1</v>
      </c>
      <c r="D133" s="189" t="s">
        <v>240</v>
      </c>
      <c r="E133" s="189" t="s">
        <v>553</v>
      </c>
      <c r="F133" s="189" t="s">
        <v>232</v>
      </c>
      <c r="G133" s="189"/>
      <c r="H133" s="192">
        <f t="shared" si="3"/>
        <v>0</v>
      </c>
      <c r="I133" s="189"/>
      <c r="J133" s="189"/>
      <c r="K133" s="189"/>
    </row>
    <row r="134" spans="1:11" s="188" customFormat="1" ht="15.95" customHeight="1" x14ac:dyDescent="0.2">
      <c r="A134" s="186">
        <v>46124</v>
      </c>
      <c r="B134" s="187">
        <v>0.66666666666666663</v>
      </c>
      <c r="C134" s="192"/>
      <c r="D134" s="189" t="s">
        <v>673</v>
      </c>
      <c r="E134" s="189" t="s">
        <v>399</v>
      </c>
      <c r="F134" s="189" t="s">
        <v>668</v>
      </c>
      <c r="G134" s="189"/>
      <c r="H134" s="192">
        <f t="shared" si="3"/>
        <v>0</v>
      </c>
      <c r="I134" s="189"/>
      <c r="J134" s="189"/>
      <c r="K134" s="189"/>
    </row>
    <row r="135" spans="1:11" s="188" customFormat="1" ht="15.95" customHeight="1" x14ac:dyDescent="0.2">
      <c r="A135" s="186">
        <v>46124</v>
      </c>
      <c r="B135" s="187">
        <v>0.33333333333333331</v>
      </c>
      <c r="C135" s="192">
        <f t="shared" si="4"/>
        <v>1</v>
      </c>
      <c r="D135" s="189" t="s">
        <v>673</v>
      </c>
      <c r="E135" s="189" t="s">
        <v>399</v>
      </c>
      <c r="F135" s="189" t="s">
        <v>668</v>
      </c>
      <c r="G135" s="189"/>
      <c r="H135" s="192">
        <f t="shared" si="3"/>
        <v>0</v>
      </c>
      <c r="I135" s="189"/>
      <c r="J135" s="189"/>
      <c r="K135" s="189"/>
    </row>
    <row r="136" spans="1:11" s="188" customFormat="1" ht="15.95" customHeight="1" x14ac:dyDescent="0.2">
      <c r="A136" s="186">
        <v>46124</v>
      </c>
      <c r="B136" s="187">
        <v>0.66666666666666663</v>
      </c>
      <c r="C136" s="192"/>
      <c r="D136" s="189" t="s">
        <v>78</v>
      </c>
      <c r="E136" s="189" t="s">
        <v>400</v>
      </c>
      <c r="F136" s="189" t="s">
        <v>668</v>
      </c>
      <c r="G136" s="189"/>
      <c r="H136" s="192">
        <f t="shared" si="3"/>
        <v>0</v>
      </c>
      <c r="I136" s="189"/>
      <c r="J136" s="189"/>
      <c r="K136" s="189"/>
    </row>
    <row r="137" spans="1:11" s="188" customFormat="1" ht="15.95" customHeight="1" x14ac:dyDescent="0.2">
      <c r="A137" s="186">
        <v>46124</v>
      </c>
      <c r="B137" s="187">
        <v>0.33333333333333331</v>
      </c>
      <c r="C137" s="192">
        <f t="shared" si="4"/>
        <v>1</v>
      </c>
      <c r="D137" s="189" t="s">
        <v>78</v>
      </c>
      <c r="E137" s="189" t="s">
        <v>400</v>
      </c>
      <c r="F137" s="189" t="s">
        <v>668</v>
      </c>
      <c r="G137" s="189"/>
      <c r="H137" s="192">
        <f t="shared" si="3"/>
        <v>0</v>
      </c>
      <c r="I137" s="189"/>
      <c r="J137" s="189"/>
      <c r="K137" s="189"/>
    </row>
    <row r="138" spans="1:11" s="188" customFormat="1" ht="15.95" customHeight="1" x14ac:dyDescent="0.2">
      <c r="A138" s="186">
        <v>46124</v>
      </c>
      <c r="B138" s="187">
        <v>0.66666666666666663</v>
      </c>
      <c r="C138" s="192"/>
      <c r="D138" s="189" t="s">
        <v>79</v>
      </c>
      <c r="E138" s="189" t="s">
        <v>401</v>
      </c>
      <c r="F138" s="189" t="s">
        <v>674</v>
      </c>
      <c r="G138" s="189"/>
      <c r="H138" s="192">
        <f t="shared" si="3"/>
        <v>0</v>
      </c>
      <c r="I138" s="189"/>
      <c r="J138" s="189"/>
      <c r="K138" s="189"/>
    </row>
    <row r="139" spans="1:11" s="188" customFormat="1" ht="15.95" customHeight="1" x14ac:dyDescent="0.2">
      <c r="A139" s="186">
        <v>46124</v>
      </c>
      <c r="B139" s="187">
        <v>0.33333333333333331</v>
      </c>
      <c r="C139" s="192">
        <f t="shared" si="4"/>
        <v>1</v>
      </c>
      <c r="D139" s="189" t="s">
        <v>79</v>
      </c>
      <c r="E139" s="189" t="s">
        <v>401</v>
      </c>
      <c r="F139" s="189" t="s">
        <v>674</v>
      </c>
      <c r="G139" s="189"/>
      <c r="H139" s="192">
        <f t="shared" si="3"/>
        <v>0</v>
      </c>
      <c r="I139" s="189"/>
      <c r="J139" s="189"/>
      <c r="K139" s="189"/>
    </row>
    <row r="140" spans="1:11" s="188" customFormat="1" ht="15.95" customHeight="1" x14ac:dyDescent="0.2">
      <c r="A140" s="186">
        <v>46124</v>
      </c>
      <c r="B140" s="187">
        <v>0.98958333333333337</v>
      </c>
      <c r="C140" s="192"/>
      <c r="D140" s="189" t="s">
        <v>295</v>
      </c>
      <c r="E140" s="189" t="s">
        <v>604</v>
      </c>
      <c r="F140" s="189" t="s">
        <v>668</v>
      </c>
      <c r="G140" s="189"/>
      <c r="H140" s="192">
        <f t="shared" si="3"/>
        <v>0</v>
      </c>
      <c r="I140" s="189"/>
      <c r="J140" s="189"/>
      <c r="K140" s="189"/>
    </row>
    <row r="141" spans="1:11" s="188" customFormat="1" ht="15.95" customHeight="1" x14ac:dyDescent="0.2">
      <c r="A141" s="186">
        <v>46124</v>
      </c>
      <c r="B141" s="187">
        <v>0.65625</v>
      </c>
      <c r="C141" s="192">
        <f t="shared" si="4"/>
        <v>1.0000000000000002</v>
      </c>
      <c r="D141" s="189" t="s">
        <v>295</v>
      </c>
      <c r="E141" s="189" t="s">
        <v>604</v>
      </c>
      <c r="F141" s="189" t="s">
        <v>668</v>
      </c>
      <c r="G141" s="189"/>
      <c r="H141" s="192">
        <f t="shared" si="3"/>
        <v>0</v>
      </c>
      <c r="I141" s="189"/>
      <c r="J141" s="189"/>
      <c r="K141" s="189"/>
    </row>
    <row r="142" spans="1:11" s="188" customFormat="1" ht="15.95" customHeight="1" x14ac:dyDescent="0.2">
      <c r="A142" s="186">
        <v>46124</v>
      </c>
      <c r="B142" s="187">
        <v>0.66666666666666663</v>
      </c>
      <c r="C142" s="192"/>
      <c r="D142" s="189" t="s">
        <v>80</v>
      </c>
      <c r="E142" s="189" t="s">
        <v>402</v>
      </c>
      <c r="F142" s="189" t="s">
        <v>68</v>
      </c>
      <c r="G142" s="189"/>
      <c r="H142" s="192">
        <f t="shared" ref="H142:H205" si="5">(G141-G142)/TIME(1,0,0)</f>
        <v>0</v>
      </c>
      <c r="I142" s="189"/>
      <c r="J142" s="189"/>
      <c r="K142" s="189"/>
    </row>
    <row r="143" spans="1:11" s="188" customFormat="1" ht="15.95" customHeight="1" x14ac:dyDescent="0.2">
      <c r="A143" s="186">
        <v>46124</v>
      </c>
      <c r="B143" s="187">
        <v>0.33333333333333331</v>
      </c>
      <c r="C143" s="192">
        <f t="shared" si="4"/>
        <v>1</v>
      </c>
      <c r="D143" s="189" t="s">
        <v>80</v>
      </c>
      <c r="E143" s="189" t="s">
        <v>402</v>
      </c>
      <c r="F143" s="189" t="s">
        <v>68</v>
      </c>
      <c r="G143" s="189"/>
      <c r="H143" s="192">
        <f t="shared" si="5"/>
        <v>0</v>
      </c>
      <c r="I143" s="189"/>
      <c r="J143" s="189"/>
      <c r="K143" s="189"/>
    </row>
    <row r="144" spans="1:11" s="188" customFormat="1" ht="15.95" customHeight="1" x14ac:dyDescent="0.2">
      <c r="A144" s="186">
        <v>46124</v>
      </c>
      <c r="B144" s="187">
        <v>0.66666666666666663</v>
      </c>
      <c r="C144" s="192"/>
      <c r="D144" s="189" t="s">
        <v>760</v>
      </c>
      <c r="E144" s="189" t="s">
        <v>477</v>
      </c>
      <c r="F144" s="189" t="s">
        <v>155</v>
      </c>
      <c r="G144" s="187">
        <v>0.87569444444444444</v>
      </c>
      <c r="H144" s="192">
        <f t="shared" si="5"/>
        <v>-21.016666666666669</v>
      </c>
      <c r="I144" s="189"/>
      <c r="J144" s="189"/>
      <c r="K144" s="189"/>
    </row>
    <row r="145" spans="1:11" s="188" customFormat="1" ht="15.95" customHeight="1" x14ac:dyDescent="0.2">
      <c r="A145" s="186">
        <v>46124</v>
      </c>
      <c r="B145" s="187">
        <v>0.33333333333333331</v>
      </c>
      <c r="C145" s="192">
        <f t="shared" si="4"/>
        <v>1</v>
      </c>
      <c r="D145" s="189" t="s">
        <v>760</v>
      </c>
      <c r="E145" s="189" t="s">
        <v>477</v>
      </c>
      <c r="F145" s="189" t="s">
        <v>155</v>
      </c>
      <c r="G145" s="187">
        <v>0.66666666666666663</v>
      </c>
      <c r="H145" s="192">
        <f t="shared" si="5"/>
        <v>5.0166666666666675</v>
      </c>
      <c r="I145" s="189"/>
      <c r="J145" s="189"/>
      <c r="K145" s="189"/>
    </row>
    <row r="146" spans="1:11" s="188" customFormat="1" ht="15.95" customHeight="1" x14ac:dyDescent="0.2">
      <c r="A146" s="186">
        <v>46124</v>
      </c>
      <c r="B146" s="187">
        <v>0.66666666666666663</v>
      </c>
      <c r="C146" s="192"/>
      <c r="D146" s="189" t="s">
        <v>274</v>
      </c>
      <c r="E146" s="189" t="s">
        <v>583</v>
      </c>
      <c r="F146" s="189" t="s">
        <v>272</v>
      </c>
      <c r="G146" s="189"/>
      <c r="H146" s="192">
        <f t="shared" si="5"/>
        <v>16</v>
      </c>
      <c r="I146" s="189"/>
      <c r="J146" s="189"/>
      <c r="K146" s="189"/>
    </row>
    <row r="147" spans="1:11" s="188" customFormat="1" ht="15.95" customHeight="1" x14ac:dyDescent="0.2">
      <c r="A147" s="186">
        <v>46124</v>
      </c>
      <c r="B147" s="187">
        <v>0.33333333333333331</v>
      </c>
      <c r="C147" s="192">
        <f t="shared" si="4"/>
        <v>1</v>
      </c>
      <c r="D147" s="189" t="s">
        <v>274</v>
      </c>
      <c r="E147" s="189" t="s">
        <v>583</v>
      </c>
      <c r="F147" s="189" t="s">
        <v>272</v>
      </c>
      <c r="G147" s="189"/>
      <c r="H147" s="192">
        <f t="shared" si="5"/>
        <v>0</v>
      </c>
      <c r="I147" s="189"/>
      <c r="J147" s="189"/>
      <c r="K147" s="189"/>
    </row>
    <row r="148" spans="1:11" s="188" customFormat="1" ht="15.95" customHeight="1" x14ac:dyDescent="0.2">
      <c r="A148" s="186">
        <v>46124</v>
      </c>
      <c r="B148" s="187">
        <v>0.66666666666666663</v>
      </c>
      <c r="C148" s="192"/>
      <c r="D148" s="189" t="s">
        <v>81</v>
      </c>
      <c r="E148" s="189" t="s">
        <v>403</v>
      </c>
      <c r="F148" s="189" t="s">
        <v>674</v>
      </c>
      <c r="G148" s="189"/>
      <c r="H148" s="192">
        <f t="shared" si="5"/>
        <v>0</v>
      </c>
      <c r="I148" s="189"/>
      <c r="J148" s="189"/>
      <c r="K148" s="189"/>
    </row>
    <row r="149" spans="1:11" s="188" customFormat="1" ht="15.95" customHeight="1" x14ac:dyDescent="0.2">
      <c r="A149" s="186">
        <v>46124</v>
      </c>
      <c r="B149" s="187">
        <v>0.33333333333333331</v>
      </c>
      <c r="C149" s="192">
        <f t="shared" si="4"/>
        <v>1</v>
      </c>
      <c r="D149" s="189" t="s">
        <v>81</v>
      </c>
      <c r="E149" s="189" t="s">
        <v>403</v>
      </c>
      <c r="F149" s="189" t="s">
        <v>674</v>
      </c>
      <c r="G149" s="189"/>
      <c r="H149" s="192">
        <f t="shared" si="5"/>
        <v>0</v>
      </c>
      <c r="I149" s="189"/>
      <c r="J149" s="189"/>
      <c r="K149" s="189"/>
    </row>
    <row r="150" spans="1:11" s="188" customFormat="1" ht="15.95" customHeight="1" x14ac:dyDescent="0.2">
      <c r="A150" s="186">
        <v>46124</v>
      </c>
      <c r="B150" s="187">
        <v>0.66666666666666663</v>
      </c>
      <c r="C150" s="192"/>
      <c r="D150" s="189" t="s">
        <v>194</v>
      </c>
      <c r="E150" s="189" t="s">
        <v>511</v>
      </c>
      <c r="F150" s="189" t="s">
        <v>155</v>
      </c>
      <c r="G150" s="189"/>
      <c r="H150" s="192">
        <f t="shared" si="5"/>
        <v>0</v>
      </c>
      <c r="I150" s="189"/>
      <c r="J150" s="189"/>
      <c r="K150" s="189"/>
    </row>
    <row r="151" spans="1:11" s="188" customFormat="1" ht="15.95" customHeight="1" x14ac:dyDescent="0.2">
      <c r="A151" s="186">
        <v>46124</v>
      </c>
      <c r="B151" s="187">
        <v>0.33333333333333331</v>
      </c>
      <c r="C151" s="192">
        <f t="shared" si="4"/>
        <v>1</v>
      </c>
      <c r="D151" s="189" t="s">
        <v>194</v>
      </c>
      <c r="E151" s="189" t="s">
        <v>511</v>
      </c>
      <c r="F151" s="189" t="s">
        <v>155</v>
      </c>
      <c r="G151" s="189"/>
      <c r="H151" s="192">
        <f t="shared" si="5"/>
        <v>0</v>
      </c>
      <c r="I151" s="189"/>
      <c r="J151" s="189"/>
      <c r="K151" s="189"/>
    </row>
    <row r="152" spans="1:11" s="188" customFormat="1" ht="15.95" customHeight="1" x14ac:dyDescent="0.2">
      <c r="A152" s="186">
        <v>46124</v>
      </c>
      <c r="B152" s="187">
        <v>0.66666666666666663</v>
      </c>
      <c r="C152" s="192"/>
      <c r="D152" s="189" t="s">
        <v>675</v>
      </c>
      <c r="E152" s="189" t="s">
        <v>512</v>
      </c>
      <c r="F152" s="189" t="s">
        <v>668</v>
      </c>
      <c r="G152" s="189"/>
      <c r="H152" s="192">
        <f t="shared" si="5"/>
        <v>0</v>
      </c>
      <c r="I152" s="189"/>
      <c r="J152" s="189"/>
      <c r="K152" s="189"/>
    </row>
    <row r="153" spans="1:11" s="188" customFormat="1" ht="15.95" customHeight="1" x14ac:dyDescent="0.2">
      <c r="A153" s="186">
        <v>46124</v>
      </c>
      <c r="B153" s="187">
        <v>0.33333333333333331</v>
      </c>
      <c r="C153" s="192">
        <f t="shared" si="4"/>
        <v>1</v>
      </c>
      <c r="D153" s="189" t="s">
        <v>675</v>
      </c>
      <c r="E153" s="189" t="s">
        <v>512</v>
      </c>
      <c r="F153" s="189" t="s">
        <v>668</v>
      </c>
      <c r="G153" s="189"/>
      <c r="H153" s="192">
        <f t="shared" si="5"/>
        <v>0</v>
      </c>
      <c r="I153" s="189"/>
      <c r="J153" s="189"/>
      <c r="K153" s="189"/>
    </row>
    <row r="154" spans="1:11" s="188" customFormat="1" ht="15.95" customHeight="1" x14ac:dyDescent="0.2">
      <c r="A154" s="186">
        <v>46124</v>
      </c>
      <c r="B154" s="187">
        <v>0.66666666666666663</v>
      </c>
      <c r="C154" s="192"/>
      <c r="D154" s="189" t="s">
        <v>144</v>
      </c>
      <c r="E154" s="189" t="s">
        <v>465</v>
      </c>
      <c r="F154" s="189" t="s">
        <v>776</v>
      </c>
      <c r="G154" s="189"/>
      <c r="H154" s="192">
        <f t="shared" si="5"/>
        <v>0</v>
      </c>
      <c r="I154" s="189"/>
      <c r="J154" s="189"/>
      <c r="K154" s="189"/>
    </row>
    <row r="155" spans="1:11" s="188" customFormat="1" ht="15.95" customHeight="1" x14ac:dyDescent="0.2">
      <c r="A155" s="186">
        <v>46124</v>
      </c>
      <c r="B155" s="187">
        <v>0.33333333333333331</v>
      </c>
      <c r="C155" s="192">
        <f t="shared" si="4"/>
        <v>1</v>
      </c>
      <c r="D155" s="189" t="s">
        <v>144</v>
      </c>
      <c r="E155" s="189" t="s">
        <v>465</v>
      </c>
      <c r="F155" s="189" t="s">
        <v>776</v>
      </c>
      <c r="G155" s="189"/>
      <c r="H155" s="192">
        <f t="shared" si="5"/>
        <v>0</v>
      </c>
      <c r="I155" s="189"/>
      <c r="J155" s="189"/>
      <c r="K155" s="189"/>
    </row>
    <row r="156" spans="1:11" s="188" customFormat="1" ht="15.95" customHeight="1" x14ac:dyDescent="0.2">
      <c r="A156" s="186">
        <v>46124</v>
      </c>
      <c r="B156" s="187">
        <v>0.66666666666666663</v>
      </c>
      <c r="C156" s="192"/>
      <c r="D156" s="189" t="s">
        <v>83</v>
      </c>
      <c r="E156" s="189" t="s">
        <v>405</v>
      </c>
      <c r="F156" s="189" t="s">
        <v>674</v>
      </c>
      <c r="G156" s="189"/>
      <c r="H156" s="192">
        <f t="shared" si="5"/>
        <v>0</v>
      </c>
      <c r="I156" s="189"/>
      <c r="J156" s="189"/>
      <c r="K156" s="189"/>
    </row>
    <row r="157" spans="1:11" s="188" customFormat="1" ht="15.95" customHeight="1" x14ac:dyDescent="0.2">
      <c r="A157" s="186">
        <v>46124</v>
      </c>
      <c r="B157" s="187">
        <v>0.33333333333333331</v>
      </c>
      <c r="C157" s="192">
        <f t="shared" si="4"/>
        <v>1</v>
      </c>
      <c r="D157" s="189" t="s">
        <v>83</v>
      </c>
      <c r="E157" s="189" t="s">
        <v>405</v>
      </c>
      <c r="F157" s="189" t="s">
        <v>674</v>
      </c>
      <c r="G157" s="189"/>
      <c r="H157" s="192">
        <f t="shared" si="5"/>
        <v>0</v>
      </c>
      <c r="I157" s="189"/>
      <c r="J157" s="189"/>
      <c r="K157" s="189"/>
    </row>
    <row r="158" spans="1:11" s="188" customFormat="1" ht="15.95" customHeight="1" x14ac:dyDescent="0.2">
      <c r="A158" s="186">
        <v>46124</v>
      </c>
      <c r="B158" s="187">
        <v>0.66666666666666663</v>
      </c>
      <c r="C158" s="192"/>
      <c r="D158" s="189" t="s">
        <v>241</v>
      </c>
      <c r="E158" s="189" t="s">
        <v>554</v>
      </c>
      <c r="F158" s="189" t="s">
        <v>232</v>
      </c>
      <c r="G158" s="189"/>
      <c r="H158" s="192">
        <f t="shared" si="5"/>
        <v>0</v>
      </c>
      <c r="I158" s="189"/>
      <c r="J158" s="189"/>
      <c r="K158" s="189"/>
    </row>
    <row r="159" spans="1:11" s="188" customFormat="1" ht="15.95" customHeight="1" x14ac:dyDescent="0.2">
      <c r="A159" s="186">
        <v>46124</v>
      </c>
      <c r="B159" s="187">
        <v>0.33333333333333331</v>
      </c>
      <c r="C159" s="192">
        <f t="shared" si="4"/>
        <v>1</v>
      </c>
      <c r="D159" s="189" t="s">
        <v>241</v>
      </c>
      <c r="E159" s="189" t="s">
        <v>554</v>
      </c>
      <c r="F159" s="189" t="s">
        <v>232</v>
      </c>
      <c r="G159" s="189"/>
      <c r="H159" s="192">
        <f t="shared" si="5"/>
        <v>0</v>
      </c>
      <c r="I159" s="189"/>
      <c r="J159" s="189"/>
      <c r="K159" s="189"/>
    </row>
    <row r="160" spans="1:11" s="188" customFormat="1" ht="15.95" customHeight="1" x14ac:dyDescent="0.2">
      <c r="A160" s="186">
        <v>46124</v>
      </c>
      <c r="B160" s="187">
        <v>0.98958333333333337</v>
      </c>
      <c r="C160" s="192"/>
      <c r="D160" s="189" t="s">
        <v>737</v>
      </c>
      <c r="E160" s="189" t="s">
        <v>600</v>
      </c>
      <c r="F160" s="189" t="s">
        <v>677</v>
      </c>
      <c r="G160" s="189"/>
      <c r="H160" s="192">
        <f t="shared" si="5"/>
        <v>0</v>
      </c>
      <c r="I160" s="189"/>
      <c r="J160" s="189"/>
      <c r="K160" s="189"/>
    </row>
    <row r="161" spans="1:11" s="188" customFormat="1" ht="15.95" customHeight="1" x14ac:dyDescent="0.2">
      <c r="A161" s="186">
        <v>46124</v>
      </c>
      <c r="B161" s="187">
        <v>0.65625</v>
      </c>
      <c r="C161" s="192">
        <f t="shared" si="4"/>
        <v>1.0000000000000002</v>
      </c>
      <c r="D161" s="189" t="s">
        <v>737</v>
      </c>
      <c r="E161" s="189" t="s">
        <v>600</v>
      </c>
      <c r="F161" s="189" t="s">
        <v>677</v>
      </c>
      <c r="G161" s="189"/>
      <c r="H161" s="192">
        <f t="shared" si="5"/>
        <v>0</v>
      </c>
      <c r="I161" s="189"/>
      <c r="J161" s="189"/>
      <c r="K161" s="189"/>
    </row>
    <row r="162" spans="1:11" s="188" customFormat="1" ht="15.95" customHeight="1" x14ac:dyDescent="0.2">
      <c r="A162" s="186">
        <v>46124</v>
      </c>
      <c r="B162" s="187">
        <v>0.98958333333333337</v>
      </c>
      <c r="C162" s="192"/>
      <c r="D162" s="189" t="s">
        <v>306</v>
      </c>
      <c r="E162" s="189" t="s">
        <v>617</v>
      </c>
      <c r="F162" s="189" t="s">
        <v>192</v>
      </c>
      <c r="G162" s="189"/>
      <c r="H162" s="192">
        <f t="shared" si="5"/>
        <v>0</v>
      </c>
      <c r="I162" s="189"/>
      <c r="J162" s="189"/>
      <c r="K162" s="189"/>
    </row>
    <row r="163" spans="1:11" s="188" customFormat="1" ht="15.95" customHeight="1" x14ac:dyDescent="0.2">
      <c r="A163" s="186">
        <v>46124</v>
      </c>
      <c r="B163" s="187">
        <v>0.65625</v>
      </c>
      <c r="C163" s="192">
        <f t="shared" si="4"/>
        <v>1.0000000000000002</v>
      </c>
      <c r="D163" s="189" t="s">
        <v>306</v>
      </c>
      <c r="E163" s="189" t="s">
        <v>617</v>
      </c>
      <c r="F163" s="189" t="s">
        <v>192</v>
      </c>
      <c r="G163" s="189"/>
      <c r="H163" s="192">
        <f t="shared" si="5"/>
        <v>0</v>
      </c>
      <c r="I163" s="189"/>
      <c r="J163" s="189"/>
      <c r="K163" s="189"/>
    </row>
    <row r="164" spans="1:11" s="188" customFormat="1" ht="15.95" customHeight="1" x14ac:dyDescent="0.2">
      <c r="A164" s="186">
        <v>46124</v>
      </c>
      <c r="B164" s="187">
        <v>0.66666666666666663</v>
      </c>
      <c r="C164" s="192"/>
      <c r="D164" s="189" t="s">
        <v>217</v>
      </c>
      <c r="E164" s="189" t="s">
        <v>532</v>
      </c>
      <c r="F164" s="189" t="s">
        <v>777</v>
      </c>
      <c r="G164" s="189"/>
      <c r="H164" s="192">
        <f t="shared" si="5"/>
        <v>0</v>
      </c>
      <c r="I164" s="189"/>
      <c r="J164" s="189"/>
      <c r="K164" s="189"/>
    </row>
    <row r="165" spans="1:11" s="188" customFormat="1" ht="15.95" customHeight="1" x14ac:dyDescent="0.2">
      <c r="A165" s="186">
        <v>46124</v>
      </c>
      <c r="B165" s="187">
        <v>0.33333333333333331</v>
      </c>
      <c r="C165" s="192">
        <f t="shared" si="4"/>
        <v>1</v>
      </c>
      <c r="D165" s="189" t="s">
        <v>217</v>
      </c>
      <c r="E165" s="189" t="s">
        <v>532</v>
      </c>
      <c r="F165" s="189" t="s">
        <v>777</v>
      </c>
      <c r="G165" s="189"/>
      <c r="H165" s="192">
        <f t="shared" si="5"/>
        <v>0</v>
      </c>
      <c r="I165" s="189"/>
      <c r="J165" s="189"/>
      <c r="K165" s="189"/>
    </row>
    <row r="166" spans="1:11" s="188" customFormat="1" ht="15.95" customHeight="1" x14ac:dyDescent="0.2">
      <c r="A166" s="186">
        <v>46124</v>
      </c>
      <c r="B166" s="187">
        <v>0.66666666666666663</v>
      </c>
      <c r="C166" s="192"/>
      <c r="D166" s="189" t="s">
        <v>109</v>
      </c>
      <c r="E166" s="189" t="s">
        <v>433</v>
      </c>
      <c r="F166" s="189" t="s">
        <v>101</v>
      </c>
      <c r="G166" s="189"/>
      <c r="H166" s="192">
        <f t="shared" si="5"/>
        <v>0</v>
      </c>
      <c r="I166" s="189"/>
      <c r="J166" s="189"/>
      <c r="K166" s="189"/>
    </row>
    <row r="167" spans="1:11" s="188" customFormat="1" ht="15.95" customHeight="1" x14ac:dyDescent="0.2">
      <c r="A167" s="186">
        <v>46124</v>
      </c>
      <c r="B167" s="187">
        <v>0.33333333333333331</v>
      </c>
      <c r="C167" s="192">
        <f t="shared" si="4"/>
        <v>1</v>
      </c>
      <c r="D167" s="189" t="s">
        <v>109</v>
      </c>
      <c r="E167" s="189" t="s">
        <v>433</v>
      </c>
      <c r="F167" s="189" t="s">
        <v>101</v>
      </c>
      <c r="G167" s="189"/>
      <c r="H167" s="192">
        <f t="shared" si="5"/>
        <v>0</v>
      </c>
      <c r="I167" s="189"/>
      <c r="J167" s="189"/>
      <c r="K167" s="189"/>
    </row>
    <row r="168" spans="1:11" s="188" customFormat="1" ht="15.95" customHeight="1" x14ac:dyDescent="0.2">
      <c r="A168" s="186">
        <v>46124</v>
      </c>
      <c r="B168" s="187">
        <v>0.66666666666666663</v>
      </c>
      <c r="C168" s="192"/>
      <c r="D168" s="189" t="s">
        <v>136</v>
      </c>
      <c r="E168" s="189" t="s">
        <v>458</v>
      </c>
      <c r="F168" s="189" t="s">
        <v>780</v>
      </c>
      <c r="G168" s="189"/>
      <c r="H168" s="192">
        <f t="shared" si="5"/>
        <v>0</v>
      </c>
      <c r="I168" s="189"/>
      <c r="J168" s="189"/>
      <c r="K168" s="189"/>
    </row>
    <row r="169" spans="1:11" s="188" customFormat="1" ht="15.95" customHeight="1" x14ac:dyDescent="0.2">
      <c r="A169" s="186">
        <v>46124</v>
      </c>
      <c r="B169" s="187">
        <v>0.33333333333333331</v>
      </c>
      <c r="C169" s="192">
        <f t="shared" si="4"/>
        <v>1</v>
      </c>
      <c r="D169" s="189" t="s">
        <v>136</v>
      </c>
      <c r="E169" s="189" t="s">
        <v>458</v>
      </c>
      <c r="F169" s="189" t="s">
        <v>780</v>
      </c>
      <c r="G169" s="189"/>
      <c r="H169" s="192">
        <f t="shared" si="5"/>
        <v>0</v>
      </c>
      <c r="I169" s="189"/>
      <c r="J169" s="189"/>
      <c r="K169" s="189"/>
    </row>
    <row r="170" spans="1:11" s="188" customFormat="1" ht="15.95" customHeight="1" x14ac:dyDescent="0.2">
      <c r="A170" s="186">
        <v>46124</v>
      </c>
      <c r="B170" s="187">
        <v>0.66666666666666663</v>
      </c>
      <c r="C170" s="192"/>
      <c r="D170" s="189" t="s">
        <v>110</v>
      </c>
      <c r="E170" s="189" t="s">
        <v>434</v>
      </c>
      <c r="F170" s="189" t="s">
        <v>101</v>
      </c>
      <c r="G170" s="189"/>
      <c r="H170" s="192">
        <f t="shared" si="5"/>
        <v>0</v>
      </c>
      <c r="I170" s="189"/>
      <c r="J170" s="189"/>
      <c r="K170" s="189"/>
    </row>
    <row r="171" spans="1:11" s="188" customFormat="1" ht="15.95" customHeight="1" x14ac:dyDescent="0.2">
      <c r="A171" s="186">
        <v>46124</v>
      </c>
      <c r="B171" s="187">
        <v>0.37430555555555556</v>
      </c>
      <c r="C171" s="192">
        <v>0.87</v>
      </c>
      <c r="D171" s="189" t="s">
        <v>110</v>
      </c>
      <c r="E171" s="189" t="s">
        <v>434</v>
      </c>
      <c r="F171" s="189" t="s">
        <v>101</v>
      </c>
      <c r="G171" s="189"/>
      <c r="H171" s="192">
        <f t="shared" si="5"/>
        <v>0</v>
      </c>
      <c r="I171" s="189"/>
      <c r="J171" s="189"/>
      <c r="K171" s="189"/>
    </row>
    <row r="172" spans="1:11" s="188" customFormat="1" ht="15.95" customHeight="1" x14ac:dyDescent="0.2">
      <c r="A172" s="186">
        <v>46124</v>
      </c>
      <c r="B172" s="187">
        <v>0.52847222222222223</v>
      </c>
      <c r="C172" s="192"/>
      <c r="D172" s="189" t="s">
        <v>279</v>
      </c>
      <c r="E172" s="189" t="s">
        <v>587</v>
      </c>
      <c r="F172" s="189" t="s">
        <v>275</v>
      </c>
      <c r="G172" s="189"/>
      <c r="H172" s="192">
        <f t="shared" si="5"/>
        <v>0</v>
      </c>
      <c r="I172" s="189"/>
      <c r="J172" s="189"/>
      <c r="K172" s="189"/>
    </row>
    <row r="173" spans="1:11" s="188" customFormat="1" ht="15.95" customHeight="1" x14ac:dyDescent="0.2">
      <c r="A173" s="186">
        <v>46124</v>
      </c>
      <c r="B173" s="187">
        <v>0.33333333333333331</v>
      </c>
      <c r="C173" s="192">
        <v>0.57999999999999996</v>
      </c>
      <c r="D173" s="189" t="s">
        <v>279</v>
      </c>
      <c r="E173" s="189" t="s">
        <v>587</v>
      </c>
      <c r="F173" s="189" t="s">
        <v>275</v>
      </c>
      <c r="G173" s="189"/>
      <c r="H173" s="192">
        <f t="shared" si="5"/>
        <v>0</v>
      </c>
      <c r="I173" s="189"/>
      <c r="J173" s="189"/>
      <c r="K173" s="189"/>
    </row>
    <row r="174" spans="1:11" s="188" customFormat="1" ht="15.95" customHeight="1" x14ac:dyDescent="0.2">
      <c r="A174" s="186">
        <v>46124</v>
      </c>
      <c r="B174" s="187">
        <v>0.66666666666666663</v>
      </c>
      <c r="C174" s="192"/>
      <c r="D174" s="189" t="s">
        <v>258</v>
      </c>
      <c r="E174" s="189" t="s">
        <v>569</v>
      </c>
      <c r="F174" s="189" t="s">
        <v>208</v>
      </c>
      <c r="G174" s="189"/>
      <c r="H174" s="192">
        <f t="shared" si="5"/>
        <v>0</v>
      </c>
      <c r="I174" s="189"/>
      <c r="J174" s="189"/>
      <c r="K174" s="189"/>
    </row>
    <row r="175" spans="1:11" s="188" customFormat="1" ht="15.95" customHeight="1" x14ac:dyDescent="0.2">
      <c r="A175" s="186">
        <v>46124</v>
      </c>
      <c r="B175" s="187">
        <v>0.33333333333333331</v>
      </c>
      <c r="C175" s="192">
        <f t="shared" si="4"/>
        <v>1</v>
      </c>
      <c r="D175" s="189" t="s">
        <v>258</v>
      </c>
      <c r="E175" s="189" t="s">
        <v>569</v>
      </c>
      <c r="F175" s="189" t="s">
        <v>208</v>
      </c>
      <c r="G175" s="189"/>
      <c r="H175" s="192">
        <f t="shared" si="5"/>
        <v>0</v>
      </c>
      <c r="I175" s="189"/>
      <c r="J175" s="189"/>
      <c r="K175" s="189"/>
    </row>
    <row r="176" spans="1:11" s="188" customFormat="1" ht="15.95" customHeight="1" x14ac:dyDescent="0.2">
      <c r="A176" s="186">
        <v>46124</v>
      </c>
      <c r="B176" s="187">
        <v>0.98958333333333337</v>
      </c>
      <c r="C176" s="192"/>
      <c r="D176" s="189" t="s">
        <v>301</v>
      </c>
      <c r="E176" s="189" t="s">
        <v>611</v>
      </c>
      <c r="F176" s="189" t="s">
        <v>668</v>
      </c>
      <c r="G176" s="189"/>
      <c r="H176" s="192">
        <f t="shared" si="5"/>
        <v>0</v>
      </c>
      <c r="I176" s="189"/>
      <c r="J176" s="189"/>
      <c r="K176" s="189"/>
    </row>
    <row r="177" spans="1:11" s="188" customFormat="1" ht="15.95" customHeight="1" x14ac:dyDescent="0.2">
      <c r="A177" s="186">
        <v>46124</v>
      </c>
      <c r="B177" s="187">
        <v>0.65625</v>
      </c>
      <c r="C177" s="192">
        <f t="shared" si="4"/>
        <v>1.0000000000000002</v>
      </c>
      <c r="D177" s="189" t="s">
        <v>301</v>
      </c>
      <c r="E177" s="189" t="s">
        <v>611</v>
      </c>
      <c r="F177" s="189" t="s">
        <v>668</v>
      </c>
      <c r="G177" s="189"/>
      <c r="H177" s="192">
        <f t="shared" si="5"/>
        <v>0</v>
      </c>
      <c r="I177" s="189"/>
      <c r="J177" s="189"/>
      <c r="K177" s="189"/>
    </row>
    <row r="178" spans="1:11" s="188" customFormat="1" ht="15.95" customHeight="1" x14ac:dyDescent="0.2">
      <c r="A178" s="186">
        <v>46124</v>
      </c>
      <c r="B178" s="187">
        <v>0.98958333333333337</v>
      </c>
      <c r="C178" s="192"/>
      <c r="D178" s="189" t="s">
        <v>320</v>
      </c>
      <c r="E178" s="189" t="s">
        <v>631</v>
      </c>
      <c r="F178" s="189" t="s">
        <v>668</v>
      </c>
      <c r="G178" s="189"/>
      <c r="H178" s="192">
        <f t="shared" si="5"/>
        <v>0</v>
      </c>
      <c r="I178" s="189"/>
      <c r="J178" s="189"/>
      <c r="K178" s="189"/>
    </row>
    <row r="179" spans="1:11" s="188" customFormat="1" ht="15.95" customHeight="1" x14ac:dyDescent="0.2">
      <c r="A179" s="186">
        <v>46124</v>
      </c>
      <c r="B179" s="187">
        <v>0.65625</v>
      </c>
      <c r="C179" s="192">
        <f t="shared" si="4"/>
        <v>1.0000000000000002</v>
      </c>
      <c r="D179" s="189" t="s">
        <v>320</v>
      </c>
      <c r="E179" s="189" t="s">
        <v>631</v>
      </c>
      <c r="F179" s="189" t="s">
        <v>668</v>
      </c>
      <c r="G179" s="189"/>
      <c r="H179" s="192">
        <f t="shared" si="5"/>
        <v>0</v>
      </c>
      <c r="I179" s="189"/>
      <c r="J179" s="189"/>
      <c r="K179" s="189"/>
    </row>
    <row r="180" spans="1:11" s="188" customFormat="1" ht="15.95" customHeight="1" x14ac:dyDescent="0.2">
      <c r="A180" s="186">
        <v>46124</v>
      </c>
      <c r="B180" s="187">
        <v>0.66666666666666663</v>
      </c>
      <c r="C180" s="192"/>
      <c r="D180" s="189" t="s">
        <v>50</v>
      </c>
      <c r="E180" s="189" t="s">
        <v>372</v>
      </c>
      <c r="F180" s="189" t="s">
        <v>778</v>
      </c>
      <c r="G180" s="189"/>
      <c r="H180" s="192">
        <f t="shared" si="5"/>
        <v>0</v>
      </c>
      <c r="I180" s="189"/>
      <c r="J180" s="189"/>
      <c r="K180" s="189"/>
    </row>
    <row r="181" spans="1:11" s="188" customFormat="1" ht="15.95" customHeight="1" x14ac:dyDescent="0.2">
      <c r="A181" s="186">
        <v>46124</v>
      </c>
      <c r="B181" s="187">
        <v>0.33333333333333331</v>
      </c>
      <c r="C181" s="192">
        <f t="shared" si="4"/>
        <v>1</v>
      </c>
      <c r="D181" s="189" t="s">
        <v>50</v>
      </c>
      <c r="E181" s="189" t="s">
        <v>372</v>
      </c>
      <c r="F181" s="189" t="s">
        <v>778</v>
      </c>
      <c r="G181" s="189"/>
      <c r="H181" s="192">
        <f t="shared" si="5"/>
        <v>0</v>
      </c>
      <c r="I181" s="189"/>
      <c r="J181" s="189"/>
      <c r="K181" s="189"/>
    </row>
    <row r="182" spans="1:11" s="188" customFormat="1" ht="15.95" customHeight="1" x14ac:dyDescent="0.2">
      <c r="A182" s="186">
        <v>46124</v>
      </c>
      <c r="B182" s="187">
        <v>0.66666666666666663</v>
      </c>
      <c r="C182" s="192"/>
      <c r="D182" s="189" t="s">
        <v>678</v>
      </c>
      <c r="E182" s="189" t="s">
        <v>555</v>
      </c>
      <c r="F182" s="189" t="s">
        <v>101</v>
      </c>
      <c r="G182" s="189"/>
      <c r="H182" s="192">
        <f t="shared" si="5"/>
        <v>0</v>
      </c>
      <c r="I182" s="189"/>
      <c r="J182" s="189"/>
      <c r="K182" s="189"/>
    </row>
    <row r="183" spans="1:11" s="188" customFormat="1" ht="15.95" customHeight="1" x14ac:dyDescent="0.2">
      <c r="A183" s="186">
        <v>46124</v>
      </c>
      <c r="B183" s="187">
        <v>0.33333333333333331</v>
      </c>
      <c r="C183" s="192">
        <f t="shared" si="4"/>
        <v>1</v>
      </c>
      <c r="D183" s="189" t="s">
        <v>678</v>
      </c>
      <c r="E183" s="189" t="s">
        <v>555</v>
      </c>
      <c r="F183" s="189" t="s">
        <v>101</v>
      </c>
      <c r="G183" s="189"/>
      <c r="H183" s="192">
        <f t="shared" si="5"/>
        <v>0</v>
      </c>
      <c r="I183" s="189"/>
      <c r="J183" s="189"/>
      <c r="K183" s="189"/>
    </row>
    <row r="184" spans="1:11" s="188" customFormat="1" ht="15.95" customHeight="1" x14ac:dyDescent="0.2">
      <c r="A184" s="186">
        <v>46124</v>
      </c>
      <c r="B184" s="187">
        <v>0.66666666666666663</v>
      </c>
      <c r="C184" s="192"/>
      <c r="D184" s="189" t="s">
        <v>145</v>
      </c>
      <c r="E184" s="189" t="s">
        <v>466</v>
      </c>
      <c r="F184" s="189" t="s">
        <v>148</v>
      </c>
      <c r="G184" s="189"/>
      <c r="H184" s="192">
        <f t="shared" si="5"/>
        <v>0</v>
      </c>
      <c r="I184" s="189"/>
      <c r="J184" s="189"/>
      <c r="K184" s="189"/>
    </row>
    <row r="185" spans="1:11" s="188" customFormat="1" ht="15.95" customHeight="1" x14ac:dyDescent="0.2">
      <c r="A185" s="186">
        <v>46124</v>
      </c>
      <c r="B185" s="187">
        <v>0.33333333333333331</v>
      </c>
      <c r="C185" s="192">
        <f t="shared" si="4"/>
        <v>1</v>
      </c>
      <c r="D185" s="189" t="s">
        <v>145</v>
      </c>
      <c r="E185" s="189" t="s">
        <v>466</v>
      </c>
      <c r="F185" s="189" t="s">
        <v>148</v>
      </c>
      <c r="G185" s="189"/>
      <c r="H185" s="192">
        <f t="shared" si="5"/>
        <v>0</v>
      </c>
      <c r="I185" s="189"/>
      <c r="J185" s="189"/>
      <c r="K185" s="189"/>
    </row>
    <row r="186" spans="1:11" s="188" customFormat="1" ht="15.95" customHeight="1" x14ac:dyDescent="0.2">
      <c r="A186" s="186">
        <v>46124</v>
      </c>
      <c r="B186" s="187">
        <v>0.66666666666666663</v>
      </c>
      <c r="C186" s="192"/>
      <c r="D186" s="189" t="s">
        <v>243</v>
      </c>
      <c r="E186" s="189" t="s">
        <v>556</v>
      </c>
      <c r="F186" s="189" t="s">
        <v>232</v>
      </c>
      <c r="G186" s="189"/>
      <c r="H186" s="192">
        <f t="shared" si="5"/>
        <v>0</v>
      </c>
      <c r="I186" s="189"/>
      <c r="J186" s="189"/>
      <c r="K186" s="189"/>
    </row>
    <row r="187" spans="1:11" s="188" customFormat="1" ht="15.95" customHeight="1" x14ac:dyDescent="0.2">
      <c r="A187" s="186">
        <v>46124</v>
      </c>
      <c r="B187" s="187">
        <v>0.33333333333333331</v>
      </c>
      <c r="C187" s="192">
        <f t="shared" si="4"/>
        <v>1</v>
      </c>
      <c r="D187" s="189" t="s">
        <v>243</v>
      </c>
      <c r="E187" s="189" t="s">
        <v>556</v>
      </c>
      <c r="F187" s="189" t="s">
        <v>232</v>
      </c>
      <c r="G187" s="189"/>
      <c r="H187" s="192">
        <f t="shared" si="5"/>
        <v>0</v>
      </c>
      <c r="I187" s="189"/>
      <c r="J187" s="189"/>
      <c r="K187" s="189"/>
    </row>
    <row r="188" spans="1:11" s="188" customFormat="1" ht="15.95" customHeight="1" x14ac:dyDescent="0.2">
      <c r="A188" s="186">
        <v>46124</v>
      </c>
      <c r="B188" s="187">
        <v>0.66666666666666663</v>
      </c>
      <c r="C188" s="192"/>
      <c r="D188" s="189" t="s">
        <v>84</v>
      </c>
      <c r="E188" s="189" t="s">
        <v>406</v>
      </c>
      <c r="F188" s="189" t="s">
        <v>778</v>
      </c>
      <c r="G188" s="189"/>
      <c r="H188" s="192">
        <f t="shared" si="5"/>
        <v>0</v>
      </c>
      <c r="I188" s="189"/>
      <c r="J188" s="189"/>
      <c r="K188" s="189"/>
    </row>
    <row r="189" spans="1:11" s="188" customFormat="1" ht="15.95" customHeight="1" x14ac:dyDescent="0.2">
      <c r="A189" s="186">
        <v>46124</v>
      </c>
      <c r="B189" s="187">
        <v>0.33333333333333331</v>
      </c>
      <c r="C189" s="192">
        <f t="shared" si="4"/>
        <v>1</v>
      </c>
      <c r="D189" s="189" t="s">
        <v>84</v>
      </c>
      <c r="E189" s="189" t="s">
        <v>406</v>
      </c>
      <c r="F189" s="189" t="s">
        <v>778</v>
      </c>
      <c r="G189" s="189"/>
      <c r="H189" s="192">
        <f t="shared" si="5"/>
        <v>0</v>
      </c>
      <c r="I189" s="189"/>
      <c r="J189" s="189"/>
      <c r="K189" s="189"/>
    </row>
    <row r="190" spans="1:11" s="188" customFormat="1" ht="15.95" customHeight="1" x14ac:dyDescent="0.2">
      <c r="A190" s="186">
        <v>46124</v>
      </c>
      <c r="B190" s="187">
        <v>0.66666666666666663</v>
      </c>
      <c r="C190" s="192"/>
      <c r="D190" s="189" t="s">
        <v>244</v>
      </c>
      <c r="E190" s="189" t="s">
        <v>557</v>
      </c>
      <c r="F190" s="189" t="s">
        <v>155</v>
      </c>
      <c r="G190" s="189"/>
      <c r="H190" s="192">
        <f t="shared" si="5"/>
        <v>0</v>
      </c>
      <c r="I190" s="189"/>
      <c r="J190" s="189"/>
      <c r="K190" s="189"/>
    </row>
    <row r="191" spans="1:11" s="188" customFormat="1" ht="15.95" customHeight="1" x14ac:dyDescent="0.2">
      <c r="A191" s="186">
        <v>46124</v>
      </c>
      <c r="B191" s="187">
        <v>0.33333333333333331</v>
      </c>
      <c r="C191" s="192">
        <f t="shared" si="4"/>
        <v>1</v>
      </c>
      <c r="D191" s="189" t="s">
        <v>244</v>
      </c>
      <c r="E191" s="189" t="s">
        <v>557</v>
      </c>
      <c r="F191" s="189" t="s">
        <v>155</v>
      </c>
      <c r="G191" s="189"/>
      <c r="H191" s="192">
        <f t="shared" si="5"/>
        <v>0</v>
      </c>
      <c r="I191" s="189"/>
      <c r="J191" s="189"/>
      <c r="K191" s="189"/>
    </row>
    <row r="192" spans="1:11" s="188" customFormat="1" ht="15.95" customHeight="1" x14ac:dyDescent="0.2">
      <c r="A192" s="186">
        <v>46124</v>
      </c>
      <c r="B192" s="187">
        <v>0.66666666666666663</v>
      </c>
      <c r="C192" s="192"/>
      <c r="D192" s="189" t="s">
        <v>85</v>
      </c>
      <c r="E192" s="189" t="s">
        <v>407</v>
      </c>
      <c r="F192" s="189" t="s">
        <v>674</v>
      </c>
      <c r="G192" s="189"/>
      <c r="H192" s="192">
        <f t="shared" si="5"/>
        <v>0</v>
      </c>
      <c r="I192" s="189"/>
      <c r="J192" s="189"/>
      <c r="K192" s="189"/>
    </row>
    <row r="193" spans="1:11" s="188" customFormat="1" ht="15.95" customHeight="1" x14ac:dyDescent="0.2">
      <c r="A193" s="186">
        <v>46124</v>
      </c>
      <c r="B193" s="187">
        <v>0.33333333333333331</v>
      </c>
      <c r="C193" s="192">
        <f t="shared" si="4"/>
        <v>1</v>
      </c>
      <c r="D193" s="189" t="s">
        <v>85</v>
      </c>
      <c r="E193" s="189" t="s">
        <v>407</v>
      </c>
      <c r="F193" s="189" t="s">
        <v>674</v>
      </c>
      <c r="G193" s="189"/>
      <c r="H193" s="192">
        <f t="shared" si="5"/>
        <v>0</v>
      </c>
      <c r="I193" s="189"/>
      <c r="J193" s="189"/>
      <c r="K193" s="189"/>
    </row>
    <row r="194" spans="1:11" s="188" customFormat="1" ht="15.95" customHeight="1" x14ac:dyDescent="0.2">
      <c r="A194" s="186">
        <v>46124</v>
      </c>
      <c r="B194" s="187">
        <v>0.66666666666666663</v>
      </c>
      <c r="C194" s="192"/>
      <c r="D194" s="189" t="s">
        <v>779</v>
      </c>
      <c r="E194" s="189" t="s">
        <v>460</v>
      </c>
      <c r="F194" s="189" t="s">
        <v>138</v>
      </c>
      <c r="G194" s="189"/>
      <c r="H194" s="192">
        <f t="shared" si="5"/>
        <v>0</v>
      </c>
      <c r="I194" s="189"/>
      <c r="J194" s="189"/>
      <c r="K194" s="189"/>
    </row>
    <row r="195" spans="1:11" s="188" customFormat="1" ht="15.95" customHeight="1" x14ac:dyDescent="0.2">
      <c r="A195" s="186">
        <v>46124</v>
      </c>
      <c r="B195" s="187">
        <v>0.34375</v>
      </c>
      <c r="C195" s="192">
        <v>0.96</v>
      </c>
      <c r="D195" s="189" t="s">
        <v>779</v>
      </c>
      <c r="E195" s="189" t="s">
        <v>460</v>
      </c>
      <c r="F195" s="189" t="s">
        <v>138</v>
      </c>
      <c r="G195" s="189"/>
      <c r="H195" s="192">
        <f t="shared" si="5"/>
        <v>0</v>
      </c>
      <c r="I195" s="189"/>
      <c r="J195" s="189"/>
      <c r="K195" s="189"/>
    </row>
    <row r="196" spans="1:11" s="188" customFormat="1" ht="15.95" customHeight="1" x14ac:dyDescent="0.2">
      <c r="A196" s="186">
        <v>46124</v>
      </c>
      <c r="B196" s="187">
        <v>0.66666666666666663</v>
      </c>
      <c r="C196" s="192"/>
      <c r="D196" s="189" t="s">
        <v>132</v>
      </c>
      <c r="E196" s="189" t="s">
        <v>453</v>
      </c>
      <c r="F196" s="189" t="s">
        <v>131</v>
      </c>
      <c r="G196" s="189"/>
      <c r="H196" s="192">
        <f t="shared" si="5"/>
        <v>0</v>
      </c>
      <c r="I196" s="189"/>
      <c r="J196" s="189"/>
      <c r="K196" s="189"/>
    </row>
    <row r="197" spans="1:11" s="188" customFormat="1" ht="15.95" customHeight="1" x14ac:dyDescent="0.2">
      <c r="A197" s="186">
        <v>46124</v>
      </c>
      <c r="B197" s="187">
        <v>0.33333333333333331</v>
      </c>
      <c r="C197" s="192">
        <f t="shared" ref="C197:C259" si="6">(B196-B197)/TIME(8,0,0)</f>
        <v>1</v>
      </c>
      <c r="D197" s="189" t="s">
        <v>132</v>
      </c>
      <c r="E197" s="189" t="s">
        <v>453</v>
      </c>
      <c r="F197" s="189" t="s">
        <v>131</v>
      </c>
      <c r="G197" s="189"/>
      <c r="H197" s="192">
        <f t="shared" si="5"/>
        <v>0</v>
      </c>
      <c r="I197" s="189"/>
      <c r="J197" s="189"/>
      <c r="K197" s="189"/>
    </row>
    <row r="198" spans="1:11" s="188" customFormat="1" ht="15.95" customHeight="1" x14ac:dyDescent="0.2">
      <c r="A198" s="186">
        <v>46124</v>
      </c>
      <c r="B198" s="187">
        <v>0.98958333333333337</v>
      </c>
      <c r="C198" s="192"/>
      <c r="D198" s="189" t="s">
        <v>302</v>
      </c>
      <c r="E198" s="189" t="s">
        <v>612</v>
      </c>
      <c r="F198" s="189" t="s">
        <v>180</v>
      </c>
      <c r="G198" s="189"/>
      <c r="H198" s="192">
        <f t="shared" si="5"/>
        <v>0</v>
      </c>
      <c r="I198" s="189"/>
      <c r="J198" s="189"/>
      <c r="K198" s="189"/>
    </row>
    <row r="199" spans="1:11" s="188" customFormat="1" ht="15.95" customHeight="1" x14ac:dyDescent="0.2">
      <c r="A199" s="186">
        <v>46124</v>
      </c>
      <c r="B199" s="187">
        <v>0.65625</v>
      </c>
      <c r="C199" s="192">
        <f t="shared" si="6"/>
        <v>1.0000000000000002</v>
      </c>
      <c r="D199" s="189" t="s">
        <v>302</v>
      </c>
      <c r="E199" s="189" t="s">
        <v>612</v>
      </c>
      <c r="F199" s="189" t="s">
        <v>180</v>
      </c>
      <c r="G199" s="189"/>
      <c r="H199" s="192">
        <f t="shared" si="5"/>
        <v>0</v>
      </c>
      <c r="I199" s="189"/>
      <c r="J199" s="189"/>
      <c r="K199" s="189"/>
    </row>
    <row r="200" spans="1:11" s="188" customFormat="1" ht="15.95" customHeight="1" x14ac:dyDescent="0.2">
      <c r="A200" s="186">
        <v>46124</v>
      </c>
      <c r="B200" s="187">
        <v>0.43819444444444444</v>
      </c>
      <c r="C200" s="192"/>
      <c r="D200" s="189" t="s">
        <v>302</v>
      </c>
      <c r="E200" s="189" t="s">
        <v>612</v>
      </c>
      <c r="F200" s="189" t="s">
        <v>180</v>
      </c>
      <c r="G200" s="187">
        <v>0.43819444444444444</v>
      </c>
      <c r="H200" s="192">
        <f t="shared" si="5"/>
        <v>-10.516666666666667</v>
      </c>
      <c r="I200" s="189"/>
      <c r="J200" s="189"/>
      <c r="K200" s="189"/>
    </row>
    <row r="201" spans="1:11" s="188" customFormat="1" ht="15.95" customHeight="1" x14ac:dyDescent="0.2">
      <c r="A201" s="186">
        <v>46124</v>
      </c>
      <c r="B201" s="187">
        <v>0.30138888888888887</v>
      </c>
      <c r="C201" s="192"/>
      <c r="D201" s="189" t="s">
        <v>302</v>
      </c>
      <c r="E201" s="189" t="s">
        <v>612</v>
      </c>
      <c r="F201" s="189" t="s">
        <v>180</v>
      </c>
      <c r="G201" s="187">
        <v>0.30138888888888887</v>
      </c>
      <c r="H201" s="192">
        <f t="shared" si="5"/>
        <v>3.2833333333333337</v>
      </c>
      <c r="I201" s="189"/>
      <c r="J201" s="189"/>
      <c r="K201" s="189"/>
    </row>
    <row r="202" spans="1:11" s="188" customFormat="1" ht="15.95" customHeight="1" x14ac:dyDescent="0.2">
      <c r="A202" s="186">
        <v>46124</v>
      </c>
      <c r="B202" s="187">
        <v>0.66666666666666663</v>
      </c>
      <c r="C202" s="192"/>
      <c r="D202" s="189" t="s">
        <v>679</v>
      </c>
      <c r="E202" s="189" t="s">
        <v>408</v>
      </c>
      <c r="F202" s="189"/>
      <c r="G202" s="189"/>
      <c r="H202" s="192">
        <f t="shared" si="5"/>
        <v>7.2333333333333334</v>
      </c>
      <c r="I202" s="189"/>
      <c r="J202" s="189"/>
      <c r="K202" s="189"/>
    </row>
    <row r="203" spans="1:11" s="188" customFormat="1" ht="15.95" customHeight="1" x14ac:dyDescent="0.2">
      <c r="A203" s="186">
        <v>46124</v>
      </c>
      <c r="B203" s="187">
        <v>0.47361111111111109</v>
      </c>
      <c r="C203" s="192">
        <v>0.56999999999999995</v>
      </c>
      <c r="D203" s="189" t="s">
        <v>679</v>
      </c>
      <c r="E203" s="189" t="s">
        <v>408</v>
      </c>
      <c r="F203" s="189"/>
      <c r="G203" s="189"/>
      <c r="H203" s="192">
        <f t="shared" si="5"/>
        <v>0</v>
      </c>
      <c r="I203" s="189"/>
      <c r="J203" s="189"/>
      <c r="K203" s="189"/>
    </row>
    <row r="204" spans="1:11" s="188" customFormat="1" ht="15.95" customHeight="1" x14ac:dyDescent="0.2">
      <c r="A204" s="186">
        <v>46124</v>
      </c>
      <c r="B204" s="187">
        <v>0.66666666666666663</v>
      </c>
      <c r="C204" s="192"/>
      <c r="D204" s="189" t="s">
        <v>680</v>
      </c>
      <c r="E204" s="189" t="s">
        <v>478</v>
      </c>
      <c r="F204" s="189" t="s">
        <v>155</v>
      </c>
      <c r="G204" s="189"/>
      <c r="H204" s="192">
        <f t="shared" si="5"/>
        <v>0</v>
      </c>
      <c r="I204" s="189"/>
      <c r="J204" s="189"/>
      <c r="K204" s="189"/>
    </row>
    <row r="205" spans="1:11" s="188" customFormat="1" ht="15.95" customHeight="1" x14ac:dyDescent="0.2">
      <c r="A205" s="186">
        <v>46124</v>
      </c>
      <c r="B205" s="187">
        <v>0.33333333333333331</v>
      </c>
      <c r="C205" s="192">
        <f t="shared" si="6"/>
        <v>1</v>
      </c>
      <c r="D205" s="189" t="s">
        <v>680</v>
      </c>
      <c r="E205" s="189" t="s">
        <v>478</v>
      </c>
      <c r="F205" s="189" t="s">
        <v>155</v>
      </c>
      <c r="G205" s="189"/>
      <c r="H205" s="192">
        <f t="shared" si="5"/>
        <v>0</v>
      </c>
      <c r="I205" s="189"/>
      <c r="J205" s="189"/>
      <c r="K205" s="189"/>
    </row>
    <row r="206" spans="1:11" s="188" customFormat="1" ht="15.95" customHeight="1" x14ac:dyDescent="0.2">
      <c r="A206" s="186">
        <v>46124</v>
      </c>
      <c r="B206" s="187">
        <v>0.66666666666666663</v>
      </c>
      <c r="C206" s="192"/>
      <c r="D206" s="189" t="s">
        <v>87</v>
      </c>
      <c r="E206" s="189" t="s">
        <v>409</v>
      </c>
      <c r="F206" s="189" t="s">
        <v>674</v>
      </c>
      <c r="G206" s="189"/>
      <c r="H206" s="192">
        <f t="shared" ref="H206:H269" si="7">(G205-G206)/TIME(1,0,0)</f>
        <v>0</v>
      </c>
      <c r="I206" s="189"/>
      <c r="J206" s="189"/>
      <c r="K206" s="189"/>
    </row>
    <row r="207" spans="1:11" s="188" customFormat="1" ht="15.95" customHeight="1" x14ac:dyDescent="0.2">
      <c r="A207" s="186">
        <v>46124</v>
      </c>
      <c r="B207" s="187">
        <v>0.33333333333333331</v>
      </c>
      <c r="C207" s="192">
        <f t="shared" si="6"/>
        <v>1</v>
      </c>
      <c r="D207" s="189" t="s">
        <v>87</v>
      </c>
      <c r="E207" s="189" t="s">
        <v>409</v>
      </c>
      <c r="F207" s="189" t="s">
        <v>674</v>
      </c>
      <c r="G207" s="189"/>
      <c r="H207" s="192">
        <f t="shared" si="7"/>
        <v>0</v>
      </c>
      <c r="I207" s="189"/>
      <c r="J207" s="189"/>
      <c r="K207" s="189"/>
    </row>
    <row r="208" spans="1:11" s="188" customFormat="1" ht="15.95" customHeight="1" x14ac:dyDescent="0.2">
      <c r="A208" s="186">
        <v>46124</v>
      </c>
      <c r="B208" s="187">
        <v>0.66666666666666663</v>
      </c>
      <c r="C208" s="192"/>
      <c r="D208" s="189" t="s">
        <v>129</v>
      </c>
      <c r="E208" s="189" t="s">
        <v>636</v>
      </c>
      <c r="F208" s="189" t="s">
        <v>772</v>
      </c>
      <c r="G208" s="189"/>
      <c r="H208" s="192">
        <f t="shared" si="7"/>
        <v>0</v>
      </c>
      <c r="I208" s="189"/>
      <c r="J208" s="189"/>
      <c r="K208" s="189"/>
    </row>
    <row r="209" spans="1:11" s="188" customFormat="1" ht="15.95" customHeight="1" x14ac:dyDescent="0.2">
      <c r="A209" s="186">
        <v>46124</v>
      </c>
      <c r="B209" s="187">
        <v>0.33333333333333331</v>
      </c>
      <c r="C209" s="192">
        <f t="shared" si="6"/>
        <v>1</v>
      </c>
      <c r="D209" s="189" t="s">
        <v>129</v>
      </c>
      <c r="E209" s="189" t="s">
        <v>636</v>
      </c>
      <c r="F209" s="189" t="s">
        <v>772</v>
      </c>
      <c r="G209" s="189"/>
      <c r="H209" s="192">
        <f t="shared" si="7"/>
        <v>0</v>
      </c>
      <c r="I209" s="189"/>
      <c r="J209" s="189"/>
      <c r="K209" s="189"/>
    </row>
    <row r="210" spans="1:11" s="188" customFormat="1" ht="15.95" customHeight="1" x14ac:dyDescent="0.2">
      <c r="A210" s="186">
        <v>46124</v>
      </c>
      <c r="B210" s="187">
        <v>0.66666666666666663</v>
      </c>
      <c r="C210" s="192"/>
      <c r="D210" s="189" t="s">
        <v>280</v>
      </c>
      <c r="E210" s="189" t="s">
        <v>588</v>
      </c>
      <c r="F210" s="189" t="s">
        <v>275</v>
      </c>
      <c r="G210" s="189"/>
      <c r="H210" s="192">
        <f t="shared" si="7"/>
        <v>0</v>
      </c>
      <c r="I210" s="189"/>
      <c r="J210" s="189"/>
      <c r="K210" s="189"/>
    </row>
    <row r="211" spans="1:11" s="188" customFormat="1" ht="15.95" customHeight="1" x14ac:dyDescent="0.2">
      <c r="A211" s="186">
        <v>46124</v>
      </c>
      <c r="B211" s="187">
        <v>0.33333333333333331</v>
      </c>
      <c r="C211" s="192">
        <f t="shared" si="6"/>
        <v>1</v>
      </c>
      <c r="D211" s="189" t="s">
        <v>280</v>
      </c>
      <c r="E211" s="189" t="s">
        <v>588</v>
      </c>
      <c r="F211" s="189" t="s">
        <v>275</v>
      </c>
      <c r="G211" s="189"/>
      <c r="H211" s="192">
        <f t="shared" si="7"/>
        <v>0</v>
      </c>
      <c r="I211" s="189"/>
      <c r="J211" s="189"/>
      <c r="K211" s="189"/>
    </row>
    <row r="212" spans="1:11" s="188" customFormat="1" ht="15.95" customHeight="1" x14ac:dyDescent="0.2">
      <c r="A212" s="186">
        <v>46124</v>
      </c>
      <c r="B212" s="187">
        <v>0.66666666666666663</v>
      </c>
      <c r="C212" s="192"/>
      <c r="D212" s="189" t="s">
        <v>88</v>
      </c>
      <c r="E212" s="189" t="s">
        <v>410</v>
      </c>
      <c r="F212" s="189" t="s">
        <v>674</v>
      </c>
      <c r="G212" s="189"/>
      <c r="H212" s="192">
        <f t="shared" si="7"/>
        <v>0</v>
      </c>
      <c r="I212" s="189"/>
      <c r="J212" s="189"/>
      <c r="K212" s="189"/>
    </row>
    <row r="213" spans="1:11" s="188" customFormat="1" ht="15.95" customHeight="1" x14ac:dyDescent="0.2">
      <c r="A213" s="186">
        <v>46124</v>
      </c>
      <c r="B213" s="187">
        <v>0.33333333333333331</v>
      </c>
      <c r="C213" s="192">
        <f t="shared" si="6"/>
        <v>1</v>
      </c>
      <c r="D213" s="189" t="s">
        <v>88</v>
      </c>
      <c r="E213" s="189" t="s">
        <v>410</v>
      </c>
      <c r="F213" s="189" t="s">
        <v>674</v>
      </c>
      <c r="G213" s="189"/>
      <c r="H213" s="192">
        <f t="shared" si="7"/>
        <v>0</v>
      </c>
      <c r="I213" s="189"/>
      <c r="J213" s="189"/>
      <c r="K213" s="189"/>
    </row>
    <row r="214" spans="1:11" s="188" customFormat="1" ht="15.95" customHeight="1" x14ac:dyDescent="0.2">
      <c r="A214" s="186">
        <v>46124</v>
      </c>
      <c r="B214" s="187">
        <v>0.66666666666666663</v>
      </c>
      <c r="C214" s="192"/>
      <c r="D214" s="189" t="s">
        <v>89</v>
      </c>
      <c r="E214" s="189" t="s">
        <v>411</v>
      </c>
      <c r="F214" s="189" t="s">
        <v>668</v>
      </c>
      <c r="G214" s="189"/>
      <c r="H214" s="192">
        <f t="shared" si="7"/>
        <v>0</v>
      </c>
      <c r="I214" s="189"/>
      <c r="J214" s="189"/>
      <c r="K214" s="189"/>
    </row>
    <row r="215" spans="1:11" s="188" customFormat="1" ht="15.95" customHeight="1" x14ac:dyDescent="0.2">
      <c r="A215" s="186">
        <v>46124</v>
      </c>
      <c r="B215" s="187">
        <v>0.33333333333333331</v>
      </c>
      <c r="C215" s="192">
        <f t="shared" si="6"/>
        <v>1</v>
      </c>
      <c r="D215" s="189" t="s">
        <v>89</v>
      </c>
      <c r="E215" s="189" t="s">
        <v>411</v>
      </c>
      <c r="F215" s="189" t="s">
        <v>668</v>
      </c>
      <c r="G215" s="189"/>
      <c r="H215" s="192">
        <f t="shared" si="7"/>
        <v>0</v>
      </c>
      <c r="I215" s="189"/>
      <c r="J215" s="189"/>
      <c r="K215" s="189"/>
    </row>
    <row r="216" spans="1:11" s="188" customFormat="1" ht="15.95" customHeight="1" x14ac:dyDescent="0.2">
      <c r="A216" s="186">
        <v>46124</v>
      </c>
      <c r="B216" s="187">
        <v>0.98958333333333337</v>
      </c>
      <c r="C216" s="192"/>
      <c r="D216" s="189" t="s">
        <v>303</v>
      </c>
      <c r="E216" s="189" t="s">
        <v>613</v>
      </c>
      <c r="F216" s="189" t="s">
        <v>668</v>
      </c>
      <c r="G216" s="189"/>
      <c r="H216" s="192">
        <f t="shared" si="7"/>
        <v>0</v>
      </c>
      <c r="I216" s="189"/>
      <c r="J216" s="189"/>
      <c r="K216" s="189"/>
    </row>
    <row r="217" spans="1:11" s="188" customFormat="1" ht="15.95" customHeight="1" x14ac:dyDescent="0.2">
      <c r="A217" s="186">
        <v>46124</v>
      </c>
      <c r="B217" s="187">
        <v>0.65625</v>
      </c>
      <c r="C217" s="192">
        <f t="shared" si="6"/>
        <v>1.0000000000000002</v>
      </c>
      <c r="D217" s="189" t="s">
        <v>303</v>
      </c>
      <c r="E217" s="189" t="s">
        <v>613</v>
      </c>
      <c r="F217" s="189" t="s">
        <v>668</v>
      </c>
      <c r="G217" s="189"/>
      <c r="H217" s="192">
        <f t="shared" si="7"/>
        <v>0</v>
      </c>
      <c r="I217" s="189"/>
      <c r="J217" s="189"/>
      <c r="K217" s="189"/>
    </row>
    <row r="218" spans="1:11" s="188" customFormat="1" ht="15.95" customHeight="1" x14ac:dyDescent="0.2">
      <c r="A218" s="186">
        <v>46124</v>
      </c>
      <c r="B218" s="187">
        <v>0.66666666666666663</v>
      </c>
      <c r="C218" s="192"/>
      <c r="D218" s="189" t="s">
        <v>681</v>
      </c>
      <c r="E218" s="189" t="s">
        <v>570</v>
      </c>
      <c r="F218" s="189" t="s">
        <v>275</v>
      </c>
      <c r="G218" s="189"/>
      <c r="H218" s="192">
        <f t="shared" si="7"/>
        <v>0</v>
      </c>
      <c r="I218" s="189"/>
      <c r="J218" s="189"/>
      <c r="K218" s="189"/>
    </row>
    <row r="219" spans="1:11" s="188" customFormat="1" ht="15.95" customHeight="1" x14ac:dyDescent="0.2">
      <c r="A219" s="186">
        <v>46124</v>
      </c>
      <c r="B219" s="187">
        <v>0.33333333333333331</v>
      </c>
      <c r="C219" s="192">
        <f t="shared" si="6"/>
        <v>1</v>
      </c>
      <c r="D219" s="189" t="s">
        <v>681</v>
      </c>
      <c r="E219" s="189" t="s">
        <v>570</v>
      </c>
      <c r="F219" s="189" t="s">
        <v>275</v>
      </c>
      <c r="G219" s="189"/>
      <c r="H219" s="192">
        <f t="shared" si="7"/>
        <v>0</v>
      </c>
      <c r="I219" s="189"/>
      <c r="J219" s="189"/>
      <c r="K219" s="189"/>
    </row>
    <row r="220" spans="1:11" s="188" customFormat="1" ht="15.95" customHeight="1" x14ac:dyDescent="0.2">
      <c r="A220" s="186">
        <v>46124</v>
      </c>
      <c r="B220" s="187">
        <v>0.66666666666666663</v>
      </c>
      <c r="C220" s="192"/>
      <c r="D220" s="189" t="s">
        <v>140</v>
      </c>
      <c r="E220" s="189" t="s">
        <v>461</v>
      </c>
      <c r="F220" s="189" t="s">
        <v>138</v>
      </c>
      <c r="G220" s="189"/>
      <c r="H220" s="192">
        <f t="shared" si="7"/>
        <v>0</v>
      </c>
      <c r="I220" s="189"/>
      <c r="J220" s="189"/>
      <c r="K220" s="189"/>
    </row>
    <row r="221" spans="1:11" s="188" customFormat="1" ht="15.95" customHeight="1" x14ac:dyDescent="0.2">
      <c r="A221" s="186">
        <v>46124</v>
      </c>
      <c r="B221" s="187">
        <v>0.33333333333333331</v>
      </c>
      <c r="C221" s="192">
        <f t="shared" si="6"/>
        <v>1</v>
      </c>
      <c r="D221" s="189" t="s">
        <v>140</v>
      </c>
      <c r="E221" s="189" t="s">
        <v>461</v>
      </c>
      <c r="F221" s="189" t="s">
        <v>138</v>
      </c>
      <c r="G221" s="189"/>
      <c r="H221" s="192">
        <f t="shared" si="7"/>
        <v>0</v>
      </c>
      <c r="I221" s="189"/>
      <c r="J221" s="189"/>
      <c r="K221" s="189"/>
    </row>
    <row r="222" spans="1:11" s="188" customFormat="1" ht="15.95" customHeight="1" x14ac:dyDescent="0.2">
      <c r="A222" s="186">
        <v>46124</v>
      </c>
      <c r="B222" s="187">
        <v>0.66666666666666663</v>
      </c>
      <c r="C222" s="192"/>
      <c r="D222" s="189" t="s">
        <v>30</v>
      </c>
      <c r="E222" s="189" t="s">
        <v>353</v>
      </c>
      <c r="F222" s="189" t="s">
        <v>668</v>
      </c>
      <c r="G222" s="189"/>
      <c r="H222" s="192">
        <f t="shared" si="7"/>
        <v>0</v>
      </c>
      <c r="I222" s="189"/>
      <c r="J222" s="189"/>
      <c r="K222" s="189"/>
    </row>
    <row r="223" spans="1:11" s="188" customFormat="1" ht="15.95" customHeight="1" x14ac:dyDescent="0.2">
      <c r="A223" s="186">
        <v>46124</v>
      </c>
      <c r="B223" s="187">
        <v>0.33333333333333331</v>
      </c>
      <c r="C223" s="192">
        <f t="shared" si="6"/>
        <v>1</v>
      </c>
      <c r="D223" s="189" t="s">
        <v>30</v>
      </c>
      <c r="E223" s="189" t="s">
        <v>353</v>
      </c>
      <c r="F223" s="189" t="s">
        <v>668</v>
      </c>
      <c r="G223" s="189"/>
      <c r="H223" s="192">
        <f t="shared" si="7"/>
        <v>0</v>
      </c>
      <c r="I223" s="189"/>
      <c r="J223" s="189"/>
      <c r="K223" s="189"/>
    </row>
    <row r="224" spans="1:11" s="188" customFormat="1" ht="15.95" customHeight="1" x14ac:dyDescent="0.2">
      <c r="A224" s="186">
        <v>46124</v>
      </c>
      <c r="B224" s="187">
        <v>0.66666666666666663</v>
      </c>
      <c r="C224" s="192"/>
      <c r="D224" s="189" t="s">
        <v>738</v>
      </c>
      <c r="E224" s="189" t="s">
        <v>412</v>
      </c>
      <c r="F224" s="189" t="s">
        <v>668</v>
      </c>
      <c r="G224" s="189"/>
      <c r="H224" s="192">
        <f t="shared" si="7"/>
        <v>0</v>
      </c>
      <c r="I224" s="189"/>
      <c r="J224" s="189"/>
      <c r="K224" s="189"/>
    </row>
    <row r="225" spans="1:11" s="188" customFormat="1" ht="15.95" customHeight="1" x14ac:dyDescent="0.2">
      <c r="A225" s="186">
        <v>46124</v>
      </c>
      <c r="B225" s="187">
        <v>0.33333333333333331</v>
      </c>
      <c r="C225" s="192">
        <f t="shared" si="6"/>
        <v>1</v>
      </c>
      <c r="D225" s="189" t="s">
        <v>738</v>
      </c>
      <c r="E225" s="189" t="s">
        <v>412</v>
      </c>
      <c r="F225" s="189" t="s">
        <v>668</v>
      </c>
      <c r="G225" s="189"/>
      <c r="H225" s="192">
        <f t="shared" si="7"/>
        <v>0</v>
      </c>
      <c r="I225" s="189"/>
      <c r="J225" s="189"/>
      <c r="K225" s="189"/>
    </row>
    <row r="226" spans="1:11" s="188" customFormat="1" ht="15.95" customHeight="1" x14ac:dyDescent="0.2">
      <c r="A226" s="186">
        <v>46124</v>
      </c>
      <c r="B226" s="187">
        <v>0.66666666666666663</v>
      </c>
      <c r="C226" s="192"/>
      <c r="D226" s="189" t="s">
        <v>218</v>
      </c>
      <c r="E226" s="189" t="s">
        <v>533</v>
      </c>
      <c r="F226" s="189" t="s">
        <v>232</v>
      </c>
      <c r="G226" s="189"/>
      <c r="H226" s="192">
        <f t="shared" si="7"/>
        <v>0</v>
      </c>
      <c r="I226" s="189"/>
      <c r="J226" s="189"/>
      <c r="K226" s="189"/>
    </row>
    <row r="227" spans="1:11" s="188" customFormat="1" ht="15.95" customHeight="1" x14ac:dyDescent="0.2">
      <c r="A227" s="186">
        <v>46124</v>
      </c>
      <c r="B227" s="187">
        <v>0.33333333333333331</v>
      </c>
      <c r="C227" s="192">
        <f t="shared" si="6"/>
        <v>1</v>
      </c>
      <c r="D227" s="189" t="s">
        <v>218</v>
      </c>
      <c r="E227" s="189" t="s">
        <v>533</v>
      </c>
      <c r="F227" s="189" t="s">
        <v>232</v>
      </c>
      <c r="G227" s="189"/>
      <c r="H227" s="192">
        <f t="shared" si="7"/>
        <v>0</v>
      </c>
      <c r="I227" s="189"/>
      <c r="J227" s="189"/>
      <c r="K227" s="189"/>
    </row>
    <row r="228" spans="1:11" s="188" customFormat="1" ht="15.95" customHeight="1" x14ac:dyDescent="0.2">
      <c r="A228" s="186">
        <v>46124</v>
      </c>
      <c r="B228" s="187">
        <v>0.66666666666666663</v>
      </c>
      <c r="C228" s="192"/>
      <c r="D228" s="189" t="s">
        <v>281</v>
      </c>
      <c r="E228" s="189" t="s">
        <v>589</v>
      </c>
      <c r="F228" s="189" t="s">
        <v>275</v>
      </c>
      <c r="G228" s="189"/>
      <c r="H228" s="192">
        <f t="shared" si="7"/>
        <v>0</v>
      </c>
      <c r="I228" s="189"/>
      <c r="J228" s="189"/>
      <c r="K228" s="189"/>
    </row>
    <row r="229" spans="1:11" s="188" customFormat="1" ht="15.95" customHeight="1" x14ac:dyDescent="0.2">
      <c r="A229" s="186">
        <v>46124</v>
      </c>
      <c r="B229" s="187">
        <v>0.33333333333333331</v>
      </c>
      <c r="C229" s="192">
        <f t="shared" si="6"/>
        <v>1</v>
      </c>
      <c r="D229" s="189" t="s">
        <v>281</v>
      </c>
      <c r="E229" s="189" t="s">
        <v>589</v>
      </c>
      <c r="F229" s="189" t="s">
        <v>275</v>
      </c>
      <c r="G229" s="189"/>
      <c r="H229" s="192">
        <f t="shared" si="7"/>
        <v>0</v>
      </c>
      <c r="I229" s="189"/>
      <c r="J229" s="189"/>
      <c r="K229" s="189"/>
    </row>
    <row r="230" spans="1:11" s="188" customFormat="1" ht="15.95" customHeight="1" x14ac:dyDescent="0.2">
      <c r="A230" s="186">
        <v>46124</v>
      </c>
      <c r="B230" s="187">
        <v>0.98958333333333337</v>
      </c>
      <c r="C230" s="192"/>
      <c r="D230" s="189" t="s">
        <v>292</v>
      </c>
      <c r="E230" s="189" t="s">
        <v>601</v>
      </c>
      <c r="F230" s="189" t="s">
        <v>101</v>
      </c>
      <c r="G230" s="189"/>
      <c r="H230" s="192">
        <f t="shared" si="7"/>
        <v>0</v>
      </c>
      <c r="I230" s="189"/>
      <c r="J230" s="189"/>
      <c r="K230" s="189"/>
    </row>
    <row r="231" spans="1:11" s="188" customFormat="1" ht="15.95" customHeight="1" x14ac:dyDescent="0.2">
      <c r="A231" s="186">
        <v>46124</v>
      </c>
      <c r="B231" s="187">
        <v>0.65625</v>
      </c>
      <c r="C231" s="192">
        <f t="shared" si="6"/>
        <v>1.0000000000000002</v>
      </c>
      <c r="D231" s="189" t="s">
        <v>292</v>
      </c>
      <c r="E231" s="189" t="s">
        <v>601</v>
      </c>
      <c r="F231" s="189" t="s">
        <v>101</v>
      </c>
      <c r="G231" s="189"/>
      <c r="H231" s="192">
        <f t="shared" si="7"/>
        <v>0</v>
      </c>
      <c r="I231" s="189"/>
      <c r="J231" s="189"/>
      <c r="K231" s="189"/>
    </row>
    <row r="232" spans="1:11" s="188" customFormat="1" ht="15.95" customHeight="1" x14ac:dyDescent="0.2">
      <c r="A232" s="186">
        <v>46124</v>
      </c>
      <c r="B232" s="187">
        <v>0.98958333333333337</v>
      </c>
      <c r="C232" s="192"/>
      <c r="D232" s="189" t="s">
        <v>296</v>
      </c>
      <c r="E232" s="189" t="s">
        <v>605</v>
      </c>
      <c r="F232" s="189" t="s">
        <v>674</v>
      </c>
      <c r="G232" s="189"/>
      <c r="H232" s="192">
        <f t="shared" si="7"/>
        <v>0</v>
      </c>
      <c r="I232" s="189"/>
      <c r="J232" s="189"/>
      <c r="K232" s="189"/>
    </row>
    <row r="233" spans="1:11" s="188" customFormat="1" ht="15.95" customHeight="1" x14ac:dyDescent="0.2">
      <c r="A233" s="186">
        <v>46124</v>
      </c>
      <c r="B233" s="187">
        <v>0.65625</v>
      </c>
      <c r="C233" s="192">
        <f t="shared" si="6"/>
        <v>1.0000000000000002</v>
      </c>
      <c r="D233" s="189" t="s">
        <v>296</v>
      </c>
      <c r="E233" s="189" t="s">
        <v>605</v>
      </c>
      <c r="F233" s="189" t="s">
        <v>674</v>
      </c>
      <c r="G233" s="189"/>
      <c r="H233" s="192">
        <f t="shared" si="7"/>
        <v>0</v>
      </c>
      <c r="I233" s="189"/>
      <c r="J233" s="189"/>
      <c r="K233" s="189"/>
    </row>
    <row r="234" spans="1:11" s="188" customFormat="1" x14ac:dyDescent="0.2">
      <c r="A234" s="186">
        <v>46124</v>
      </c>
      <c r="B234" s="187">
        <v>0.66666666666666663</v>
      </c>
      <c r="C234" s="192"/>
      <c r="D234" s="189" t="s">
        <v>54</v>
      </c>
      <c r="E234" s="189" t="s">
        <v>377</v>
      </c>
      <c r="F234" s="189" t="s">
        <v>42</v>
      </c>
      <c r="G234" s="189"/>
      <c r="H234" s="192">
        <f t="shared" si="7"/>
        <v>0</v>
      </c>
      <c r="I234" s="189"/>
      <c r="J234" s="189"/>
      <c r="K234" s="189"/>
    </row>
    <row r="235" spans="1:11" s="188" customFormat="1" x14ac:dyDescent="0.2">
      <c r="A235" s="186">
        <v>46124</v>
      </c>
      <c r="B235" s="187">
        <v>0.33333333333333331</v>
      </c>
      <c r="C235" s="192">
        <f t="shared" si="6"/>
        <v>1</v>
      </c>
      <c r="D235" s="189" t="s">
        <v>54</v>
      </c>
      <c r="E235" s="189" t="s">
        <v>377</v>
      </c>
      <c r="F235" s="189" t="s">
        <v>42</v>
      </c>
      <c r="G235" s="189"/>
      <c r="H235" s="192">
        <f t="shared" si="7"/>
        <v>0</v>
      </c>
      <c r="I235" s="189"/>
      <c r="J235" s="189"/>
      <c r="K235" s="189"/>
    </row>
    <row r="236" spans="1:11" s="188" customFormat="1" x14ac:dyDescent="0.2">
      <c r="A236" s="186">
        <v>46124</v>
      </c>
      <c r="B236" s="187">
        <v>0.66666666666666663</v>
      </c>
      <c r="C236" s="192"/>
      <c r="D236" s="189" t="s">
        <v>740</v>
      </c>
      <c r="E236" s="189" t="s">
        <v>661</v>
      </c>
      <c r="F236" s="189"/>
      <c r="G236" s="189"/>
      <c r="H236" s="192">
        <f t="shared" si="7"/>
        <v>0</v>
      </c>
      <c r="I236" s="189"/>
      <c r="J236" s="189"/>
      <c r="K236" s="189"/>
    </row>
    <row r="237" spans="1:11" s="188" customFormat="1" x14ac:dyDescent="0.2">
      <c r="A237" s="186">
        <v>46124</v>
      </c>
      <c r="B237" s="187">
        <v>0.33333333333333331</v>
      </c>
      <c r="C237" s="192">
        <f t="shared" si="6"/>
        <v>1</v>
      </c>
      <c r="D237" s="189" t="s">
        <v>740</v>
      </c>
      <c r="E237" s="189" t="s">
        <v>661</v>
      </c>
      <c r="F237" s="189"/>
      <c r="G237" s="189"/>
      <c r="H237" s="192">
        <f t="shared" si="7"/>
        <v>0</v>
      </c>
      <c r="I237" s="189"/>
      <c r="J237" s="189"/>
      <c r="K237" s="189"/>
    </row>
    <row r="238" spans="1:11" s="188" customFormat="1" x14ac:dyDescent="0.2">
      <c r="A238" s="186">
        <v>46124</v>
      </c>
      <c r="B238" s="187">
        <v>0.66666666666666663</v>
      </c>
      <c r="C238" s="192"/>
      <c r="D238" s="189" t="s">
        <v>228</v>
      </c>
      <c r="E238" s="189" t="s">
        <v>542</v>
      </c>
      <c r="F238" s="189" t="s">
        <v>224</v>
      </c>
      <c r="G238" s="189"/>
      <c r="H238" s="192">
        <f t="shared" si="7"/>
        <v>0</v>
      </c>
      <c r="I238" s="189"/>
      <c r="J238" s="189"/>
      <c r="K238" s="189"/>
    </row>
    <row r="239" spans="1:11" s="188" customFormat="1" x14ac:dyDescent="0.2">
      <c r="A239" s="186">
        <v>46124</v>
      </c>
      <c r="B239" s="187">
        <v>0.33333333333333331</v>
      </c>
      <c r="C239" s="192">
        <f t="shared" si="6"/>
        <v>1</v>
      </c>
      <c r="D239" s="189" t="s">
        <v>228</v>
      </c>
      <c r="E239" s="189" t="s">
        <v>542</v>
      </c>
      <c r="F239" s="189" t="s">
        <v>224</v>
      </c>
      <c r="G239" s="189"/>
      <c r="H239" s="192">
        <f t="shared" si="7"/>
        <v>0</v>
      </c>
      <c r="I239" s="189"/>
      <c r="J239" s="189"/>
      <c r="K239" s="189"/>
    </row>
    <row r="240" spans="1:11" s="188" customFormat="1" x14ac:dyDescent="0.2">
      <c r="A240" s="186">
        <v>46124</v>
      </c>
      <c r="B240" s="187">
        <v>0.66666666666666663</v>
      </c>
      <c r="C240" s="192"/>
      <c r="D240" s="189" t="s">
        <v>55</v>
      </c>
      <c r="E240" s="189" t="s">
        <v>378</v>
      </c>
      <c r="F240" s="189" t="s">
        <v>668</v>
      </c>
      <c r="G240" s="189"/>
      <c r="H240" s="192">
        <f t="shared" si="7"/>
        <v>0</v>
      </c>
      <c r="I240" s="189"/>
      <c r="J240" s="189"/>
      <c r="K240" s="189"/>
    </row>
    <row r="241" spans="1:11" s="188" customFormat="1" x14ac:dyDescent="0.2">
      <c r="A241" s="186">
        <v>46124</v>
      </c>
      <c r="B241" s="187">
        <v>0.33333333333333331</v>
      </c>
      <c r="C241" s="192">
        <f t="shared" si="6"/>
        <v>1</v>
      </c>
      <c r="D241" s="189" t="s">
        <v>55</v>
      </c>
      <c r="E241" s="189" t="s">
        <v>378</v>
      </c>
      <c r="F241" s="189" t="s">
        <v>668</v>
      </c>
      <c r="G241" s="189"/>
      <c r="H241" s="192">
        <f t="shared" si="7"/>
        <v>0</v>
      </c>
      <c r="I241" s="189"/>
      <c r="J241" s="189"/>
      <c r="K241" s="189"/>
    </row>
    <row r="242" spans="1:11" s="188" customFormat="1" x14ac:dyDescent="0.2">
      <c r="A242" s="186">
        <v>46124</v>
      </c>
      <c r="B242" s="187">
        <v>0.66666666666666663</v>
      </c>
      <c r="C242" s="192"/>
      <c r="D242" s="189" t="s">
        <v>31</v>
      </c>
      <c r="E242" s="189" t="s">
        <v>354</v>
      </c>
      <c r="F242" s="189" t="s">
        <v>671</v>
      </c>
      <c r="G242" s="189"/>
      <c r="H242" s="192">
        <f t="shared" si="7"/>
        <v>0</v>
      </c>
      <c r="I242" s="189"/>
      <c r="J242" s="189"/>
      <c r="K242" s="189"/>
    </row>
    <row r="243" spans="1:11" s="188" customFormat="1" x14ac:dyDescent="0.2">
      <c r="A243" s="186">
        <v>46124</v>
      </c>
      <c r="B243" s="187">
        <v>0.33333333333333331</v>
      </c>
      <c r="C243" s="192">
        <f t="shared" si="6"/>
        <v>1</v>
      </c>
      <c r="D243" s="189" t="s">
        <v>31</v>
      </c>
      <c r="E243" s="189" t="s">
        <v>354</v>
      </c>
      <c r="F243" s="189" t="s">
        <v>671</v>
      </c>
      <c r="G243" s="189"/>
      <c r="H243" s="192">
        <f t="shared" si="7"/>
        <v>0</v>
      </c>
      <c r="I243" s="189"/>
      <c r="J243" s="189"/>
      <c r="K243" s="189"/>
    </row>
    <row r="244" spans="1:11" s="188" customFormat="1" x14ac:dyDescent="0.2">
      <c r="A244" s="186">
        <v>46124</v>
      </c>
      <c r="B244" s="187">
        <v>0.66666666666666663</v>
      </c>
      <c r="C244" s="192"/>
      <c r="D244" s="189" t="s">
        <v>794</v>
      </c>
      <c r="E244" s="189" t="s">
        <v>414</v>
      </c>
      <c r="F244" s="189"/>
      <c r="G244" s="189"/>
      <c r="H244" s="192">
        <f t="shared" si="7"/>
        <v>0</v>
      </c>
      <c r="I244" s="189"/>
      <c r="J244" s="189"/>
      <c r="K244" s="189"/>
    </row>
    <row r="245" spans="1:11" s="188" customFormat="1" x14ac:dyDescent="0.2">
      <c r="A245" s="186">
        <v>46124</v>
      </c>
      <c r="B245" s="187">
        <v>0.33333333333333331</v>
      </c>
      <c r="C245" s="192">
        <f t="shared" si="6"/>
        <v>1</v>
      </c>
      <c r="D245" s="189" t="s">
        <v>794</v>
      </c>
      <c r="E245" s="189" t="s">
        <v>414</v>
      </c>
      <c r="F245" s="189"/>
      <c r="G245" s="189"/>
      <c r="H245" s="192">
        <f t="shared" si="7"/>
        <v>0</v>
      </c>
      <c r="I245" s="189"/>
      <c r="J245" s="189"/>
      <c r="K245" s="189"/>
    </row>
    <row r="246" spans="1:11" s="188" customFormat="1" x14ac:dyDescent="0.2">
      <c r="A246" s="186">
        <v>46124</v>
      </c>
      <c r="B246" s="187">
        <v>0.66666666666666663</v>
      </c>
      <c r="C246" s="192"/>
      <c r="D246" s="189" t="s">
        <v>183</v>
      </c>
      <c r="E246" s="189" t="s">
        <v>499</v>
      </c>
      <c r="F246" s="189" t="s">
        <v>180</v>
      </c>
      <c r="G246" s="189"/>
      <c r="H246" s="192">
        <f t="shared" si="7"/>
        <v>0</v>
      </c>
      <c r="I246" s="189"/>
      <c r="J246" s="189"/>
      <c r="K246" s="189"/>
    </row>
    <row r="247" spans="1:11" s="188" customFormat="1" x14ac:dyDescent="0.2">
      <c r="A247" s="186">
        <v>46124</v>
      </c>
      <c r="B247" s="187">
        <v>0.33333333333333331</v>
      </c>
      <c r="C247" s="192">
        <f t="shared" si="6"/>
        <v>1</v>
      </c>
      <c r="D247" s="189" t="s">
        <v>183</v>
      </c>
      <c r="E247" s="189" t="s">
        <v>499</v>
      </c>
      <c r="F247" s="189" t="s">
        <v>180</v>
      </c>
      <c r="G247" s="189"/>
      <c r="H247" s="192">
        <f t="shared" si="7"/>
        <v>0</v>
      </c>
      <c r="I247" s="189"/>
      <c r="J247" s="189"/>
      <c r="K247" s="189"/>
    </row>
    <row r="248" spans="1:11" s="188" customFormat="1" x14ac:dyDescent="0.2">
      <c r="A248" s="186">
        <v>46124</v>
      </c>
      <c r="B248" s="187">
        <v>0.66666666666666663</v>
      </c>
      <c r="C248" s="192"/>
      <c r="D248" s="189" t="s">
        <v>111</v>
      </c>
      <c r="E248" s="189" t="s">
        <v>435</v>
      </c>
      <c r="F248" s="189" t="s">
        <v>780</v>
      </c>
      <c r="G248" s="189"/>
      <c r="H248" s="192">
        <f t="shared" si="7"/>
        <v>0</v>
      </c>
      <c r="I248" s="189"/>
      <c r="J248" s="189"/>
      <c r="K248" s="189"/>
    </row>
    <row r="249" spans="1:11" s="188" customFormat="1" x14ac:dyDescent="0.2">
      <c r="A249" s="186">
        <v>46124</v>
      </c>
      <c r="B249" s="187">
        <v>0.33333333333333331</v>
      </c>
      <c r="C249" s="192">
        <f t="shared" si="6"/>
        <v>1</v>
      </c>
      <c r="D249" s="189" t="s">
        <v>111</v>
      </c>
      <c r="E249" s="189" t="s">
        <v>435</v>
      </c>
      <c r="F249" s="189" t="s">
        <v>780</v>
      </c>
      <c r="G249" s="189"/>
      <c r="H249" s="192">
        <f t="shared" si="7"/>
        <v>0</v>
      </c>
      <c r="I249" s="189"/>
      <c r="J249" s="189"/>
      <c r="K249" s="189"/>
    </row>
    <row r="250" spans="1:11" s="188" customFormat="1" x14ac:dyDescent="0.2">
      <c r="A250" s="186">
        <v>46124</v>
      </c>
      <c r="B250" s="187">
        <v>0.66666666666666663</v>
      </c>
      <c r="C250" s="192"/>
      <c r="D250" s="189" t="s">
        <v>146</v>
      </c>
      <c r="E250" s="189" t="s">
        <v>467</v>
      </c>
      <c r="F250" s="189" t="s">
        <v>232</v>
      </c>
      <c r="G250" s="189"/>
      <c r="H250" s="192">
        <f t="shared" si="7"/>
        <v>0</v>
      </c>
      <c r="I250" s="189"/>
      <c r="J250" s="189"/>
      <c r="K250" s="189"/>
    </row>
    <row r="251" spans="1:11" s="188" customFormat="1" x14ac:dyDescent="0.2">
      <c r="A251" s="186">
        <v>46124</v>
      </c>
      <c r="B251" s="187">
        <v>0.33333333333333331</v>
      </c>
      <c r="C251" s="192">
        <f t="shared" si="6"/>
        <v>1</v>
      </c>
      <c r="D251" s="189" t="s">
        <v>146</v>
      </c>
      <c r="E251" s="189" t="s">
        <v>467</v>
      </c>
      <c r="F251" s="189" t="s">
        <v>232</v>
      </c>
      <c r="G251" s="189"/>
      <c r="H251" s="192">
        <f t="shared" si="7"/>
        <v>0</v>
      </c>
      <c r="I251" s="189"/>
      <c r="J251" s="189"/>
      <c r="K251" s="189"/>
    </row>
    <row r="252" spans="1:11" s="188" customFormat="1" x14ac:dyDescent="0.2">
      <c r="A252" s="186">
        <v>46124</v>
      </c>
      <c r="B252" s="187">
        <v>0.46736111111111112</v>
      </c>
      <c r="C252" s="192"/>
      <c r="D252" s="189" t="s">
        <v>56</v>
      </c>
      <c r="E252" s="189" t="s">
        <v>379</v>
      </c>
      <c r="F252" s="189" t="s">
        <v>208</v>
      </c>
      <c r="G252" s="189"/>
      <c r="H252" s="192">
        <f t="shared" si="7"/>
        <v>0</v>
      </c>
      <c r="I252" s="189"/>
      <c r="J252" s="189"/>
      <c r="K252" s="189"/>
    </row>
    <row r="253" spans="1:11" s="188" customFormat="1" x14ac:dyDescent="0.2">
      <c r="A253" s="186">
        <v>46124</v>
      </c>
      <c r="B253" s="187">
        <v>0.33333333333333331</v>
      </c>
      <c r="C253" s="192">
        <v>0.4</v>
      </c>
      <c r="D253" s="189" t="s">
        <v>56</v>
      </c>
      <c r="E253" s="189" t="s">
        <v>379</v>
      </c>
      <c r="F253" s="189" t="s">
        <v>208</v>
      </c>
      <c r="G253" s="189"/>
      <c r="H253" s="192">
        <f t="shared" si="7"/>
        <v>0</v>
      </c>
      <c r="I253" s="189"/>
      <c r="J253" s="189"/>
      <c r="K253" s="189"/>
    </row>
    <row r="254" spans="1:11" s="188" customFormat="1" x14ac:dyDescent="0.2">
      <c r="A254" s="186">
        <v>46124</v>
      </c>
      <c r="B254" s="187">
        <v>0.66666666666666663</v>
      </c>
      <c r="C254" s="192"/>
      <c r="D254" s="189" t="s">
        <v>657</v>
      </c>
      <c r="E254" s="189" t="s">
        <v>663</v>
      </c>
      <c r="F254" s="189"/>
      <c r="G254" s="189"/>
      <c r="H254" s="192">
        <f t="shared" si="7"/>
        <v>0</v>
      </c>
      <c r="I254" s="189"/>
      <c r="J254" s="189"/>
      <c r="K254" s="189"/>
    </row>
    <row r="255" spans="1:11" s="188" customFormat="1" x14ac:dyDescent="0.2">
      <c r="A255" s="186">
        <v>46124</v>
      </c>
      <c r="B255" s="187">
        <v>0.33333333333333331</v>
      </c>
      <c r="C255" s="192">
        <f t="shared" si="6"/>
        <v>1</v>
      </c>
      <c r="D255" s="189" t="s">
        <v>657</v>
      </c>
      <c r="E255" s="189" t="s">
        <v>663</v>
      </c>
      <c r="F255" s="189"/>
      <c r="G255" s="189"/>
      <c r="H255" s="192">
        <f t="shared" si="7"/>
        <v>0</v>
      </c>
      <c r="I255" s="189"/>
      <c r="J255" s="189"/>
      <c r="K255" s="189"/>
    </row>
    <row r="256" spans="1:11" s="188" customFormat="1" x14ac:dyDescent="0.2">
      <c r="A256" s="186">
        <v>46124</v>
      </c>
      <c r="B256" s="187">
        <v>0.66666666666666663</v>
      </c>
      <c r="C256" s="192"/>
      <c r="D256" s="189" t="s">
        <v>40</v>
      </c>
      <c r="E256" s="189" t="s">
        <v>363</v>
      </c>
      <c r="F256" s="189" t="s">
        <v>39</v>
      </c>
      <c r="G256" s="189"/>
      <c r="H256" s="192">
        <f t="shared" si="7"/>
        <v>0</v>
      </c>
      <c r="I256" s="189"/>
      <c r="J256" s="189"/>
      <c r="K256" s="189"/>
    </row>
    <row r="257" spans="1:11" s="188" customFormat="1" x14ac:dyDescent="0.2">
      <c r="A257" s="186">
        <v>46124</v>
      </c>
      <c r="B257" s="187">
        <v>0.33333333333333331</v>
      </c>
      <c r="C257" s="192">
        <f t="shared" si="6"/>
        <v>1</v>
      </c>
      <c r="D257" s="189" t="s">
        <v>40</v>
      </c>
      <c r="E257" s="189" t="s">
        <v>363</v>
      </c>
      <c r="F257" s="189" t="s">
        <v>39</v>
      </c>
      <c r="G257" s="189"/>
      <c r="H257" s="192">
        <f t="shared" si="7"/>
        <v>0</v>
      </c>
      <c r="I257" s="189"/>
      <c r="J257" s="189"/>
      <c r="K257" s="189"/>
    </row>
    <row r="258" spans="1:11" s="188" customFormat="1" x14ac:dyDescent="0.2">
      <c r="A258" s="186">
        <v>46124</v>
      </c>
      <c r="B258" s="187">
        <v>0.66666666666666663</v>
      </c>
      <c r="C258" s="192"/>
      <c r="D258" s="189" t="s">
        <v>229</v>
      </c>
      <c r="E258" s="189" t="s">
        <v>543</v>
      </c>
      <c r="F258" s="189" t="s">
        <v>155</v>
      </c>
      <c r="G258" s="189"/>
      <c r="H258" s="192">
        <f t="shared" si="7"/>
        <v>0</v>
      </c>
      <c r="I258" s="189"/>
      <c r="J258" s="189"/>
      <c r="K258" s="189"/>
    </row>
    <row r="259" spans="1:11" s="188" customFormat="1" x14ac:dyDescent="0.2">
      <c r="A259" s="186">
        <v>46124</v>
      </c>
      <c r="B259" s="187">
        <v>0.33333333333333331</v>
      </c>
      <c r="C259" s="192">
        <f t="shared" si="6"/>
        <v>1</v>
      </c>
      <c r="D259" s="189" t="s">
        <v>229</v>
      </c>
      <c r="E259" s="189" t="s">
        <v>543</v>
      </c>
      <c r="F259" s="189" t="s">
        <v>155</v>
      </c>
      <c r="G259" s="189"/>
      <c r="H259" s="192">
        <f t="shared" si="7"/>
        <v>0</v>
      </c>
      <c r="I259" s="189"/>
      <c r="J259" s="189"/>
      <c r="K259" s="189"/>
    </row>
    <row r="260" spans="1:11" s="188" customFormat="1" x14ac:dyDescent="0.2">
      <c r="A260" s="186">
        <v>46124</v>
      </c>
      <c r="B260" s="187">
        <v>0.66666666666666663</v>
      </c>
      <c r="C260" s="192"/>
      <c r="D260" s="189" t="s">
        <v>184</v>
      </c>
      <c r="E260" s="189" t="s">
        <v>502</v>
      </c>
      <c r="F260" s="189" t="s">
        <v>275</v>
      </c>
      <c r="G260" s="189"/>
      <c r="H260" s="192">
        <f t="shared" si="7"/>
        <v>0</v>
      </c>
      <c r="I260" s="189"/>
      <c r="J260" s="189"/>
      <c r="K260" s="189"/>
    </row>
    <row r="261" spans="1:11" s="188" customFormat="1" x14ac:dyDescent="0.2">
      <c r="A261" s="186">
        <v>46124</v>
      </c>
      <c r="B261" s="187">
        <v>0.33333333333333331</v>
      </c>
      <c r="C261" s="192">
        <f t="shared" ref="C261:C323" si="8">(B260-B261)/TIME(8,0,0)</f>
        <v>1</v>
      </c>
      <c r="D261" s="189" t="s">
        <v>184</v>
      </c>
      <c r="E261" s="189" t="s">
        <v>502</v>
      </c>
      <c r="F261" s="189" t="s">
        <v>275</v>
      </c>
      <c r="G261" s="189"/>
      <c r="H261" s="192">
        <f t="shared" si="7"/>
        <v>0</v>
      </c>
      <c r="I261" s="189"/>
      <c r="J261" s="189"/>
      <c r="K261" s="189"/>
    </row>
    <row r="262" spans="1:11" s="188" customFormat="1" x14ac:dyDescent="0.2">
      <c r="A262" s="186">
        <v>46124</v>
      </c>
      <c r="B262" s="187">
        <v>0.66666666666666663</v>
      </c>
      <c r="C262" s="192"/>
      <c r="D262" s="189" t="s">
        <v>742</v>
      </c>
      <c r="E262" s="189" t="s">
        <v>743</v>
      </c>
      <c r="F262" s="189"/>
      <c r="G262" s="189"/>
      <c r="H262" s="192">
        <f t="shared" si="7"/>
        <v>0</v>
      </c>
      <c r="I262" s="189"/>
      <c r="J262" s="189"/>
      <c r="K262" s="189"/>
    </row>
    <row r="263" spans="1:11" s="188" customFormat="1" x14ac:dyDescent="0.2">
      <c r="A263" s="186">
        <v>46124</v>
      </c>
      <c r="B263" s="187">
        <v>0.33333333333333331</v>
      </c>
      <c r="C263" s="192">
        <f t="shared" si="8"/>
        <v>1</v>
      </c>
      <c r="D263" s="189" t="s">
        <v>742</v>
      </c>
      <c r="E263" s="189" t="s">
        <v>743</v>
      </c>
      <c r="F263" s="189"/>
      <c r="G263" s="189"/>
      <c r="H263" s="192">
        <f t="shared" si="7"/>
        <v>0</v>
      </c>
      <c r="I263" s="189"/>
      <c r="J263" s="189"/>
      <c r="K263" s="189"/>
    </row>
    <row r="264" spans="1:11" s="188" customFormat="1" x14ac:dyDescent="0.2">
      <c r="A264" s="186">
        <v>46124</v>
      </c>
      <c r="B264" s="187">
        <v>0.66666666666666663</v>
      </c>
      <c r="C264" s="192"/>
      <c r="D264" s="189" t="s">
        <v>682</v>
      </c>
      <c r="E264" s="189" t="s">
        <v>436</v>
      </c>
      <c r="F264" s="189" t="s">
        <v>101</v>
      </c>
      <c r="G264" s="189"/>
      <c r="H264" s="192">
        <f t="shared" si="7"/>
        <v>0</v>
      </c>
      <c r="I264" s="189"/>
      <c r="J264" s="189"/>
      <c r="K264" s="189"/>
    </row>
    <row r="265" spans="1:11" s="188" customFormat="1" x14ac:dyDescent="0.2">
      <c r="A265" s="186">
        <v>46124</v>
      </c>
      <c r="B265" s="187">
        <v>0.33333333333333331</v>
      </c>
      <c r="C265" s="192">
        <f t="shared" si="8"/>
        <v>1</v>
      </c>
      <c r="D265" s="189" t="s">
        <v>682</v>
      </c>
      <c r="E265" s="189" t="s">
        <v>436</v>
      </c>
      <c r="F265" s="189" t="s">
        <v>101</v>
      </c>
      <c r="G265" s="189"/>
      <c r="H265" s="192">
        <f t="shared" si="7"/>
        <v>0</v>
      </c>
      <c r="I265" s="189"/>
      <c r="J265" s="189"/>
      <c r="K265" s="189"/>
    </row>
    <row r="266" spans="1:11" s="188" customFormat="1" x14ac:dyDescent="0.2">
      <c r="A266" s="186">
        <v>46124</v>
      </c>
      <c r="B266" s="187">
        <v>0.66666666666666663</v>
      </c>
      <c r="C266" s="192"/>
      <c r="D266" s="189" t="s">
        <v>757</v>
      </c>
      <c r="E266" s="189" t="s">
        <v>746</v>
      </c>
      <c r="F266" s="189"/>
      <c r="G266" s="189"/>
      <c r="H266" s="192">
        <f t="shared" si="7"/>
        <v>0</v>
      </c>
      <c r="I266" s="189"/>
      <c r="J266" s="189"/>
      <c r="K266" s="189"/>
    </row>
    <row r="267" spans="1:11" s="188" customFormat="1" x14ac:dyDescent="0.2">
      <c r="A267" s="186">
        <v>46124</v>
      </c>
      <c r="B267" s="187">
        <v>0.33333333333333331</v>
      </c>
      <c r="C267" s="192">
        <f t="shared" si="8"/>
        <v>1</v>
      </c>
      <c r="D267" s="189" t="s">
        <v>757</v>
      </c>
      <c r="E267" s="189" t="s">
        <v>746</v>
      </c>
      <c r="F267" s="189"/>
      <c r="G267" s="189"/>
      <c r="H267" s="192">
        <f t="shared" si="7"/>
        <v>0</v>
      </c>
      <c r="I267" s="189"/>
      <c r="J267" s="189"/>
      <c r="K267" s="189"/>
    </row>
    <row r="268" spans="1:11" s="188" customFormat="1" x14ac:dyDescent="0.2">
      <c r="A268" s="186">
        <v>46124</v>
      </c>
      <c r="B268" s="187">
        <v>0.66666666666666663</v>
      </c>
      <c r="C268" s="192"/>
      <c r="D268" s="189" t="s">
        <v>175</v>
      </c>
      <c r="E268" s="189" t="s">
        <v>492</v>
      </c>
      <c r="F268" s="189" t="s">
        <v>668</v>
      </c>
      <c r="G268" s="189"/>
      <c r="H268" s="192">
        <f t="shared" si="7"/>
        <v>0</v>
      </c>
      <c r="I268" s="189"/>
      <c r="J268" s="189"/>
      <c r="K268" s="189"/>
    </row>
    <row r="269" spans="1:11" s="188" customFormat="1" x14ac:dyDescent="0.2">
      <c r="A269" s="186">
        <v>46124</v>
      </c>
      <c r="B269" s="187">
        <v>0.33333333333333331</v>
      </c>
      <c r="C269" s="192">
        <f t="shared" si="8"/>
        <v>1</v>
      </c>
      <c r="D269" s="189" t="s">
        <v>175</v>
      </c>
      <c r="E269" s="189" t="s">
        <v>492</v>
      </c>
      <c r="F269" s="189" t="s">
        <v>668</v>
      </c>
      <c r="G269" s="189"/>
      <c r="H269" s="192">
        <f t="shared" si="7"/>
        <v>0</v>
      </c>
      <c r="I269" s="189"/>
      <c r="J269" s="189"/>
      <c r="K269" s="189"/>
    </row>
    <row r="270" spans="1:11" s="188" customFormat="1" x14ac:dyDescent="0.2">
      <c r="A270" s="186">
        <v>46124</v>
      </c>
      <c r="B270" s="187">
        <v>0.66666666666666663</v>
      </c>
      <c r="C270" s="192"/>
      <c r="D270" s="189" t="s">
        <v>185</v>
      </c>
      <c r="E270" s="189" t="s">
        <v>503</v>
      </c>
      <c r="F270" s="189" t="s">
        <v>180</v>
      </c>
      <c r="G270" s="189"/>
      <c r="H270" s="192">
        <f t="shared" ref="H270:H333" si="9">(G269-G270)/TIME(1,0,0)</f>
        <v>0</v>
      </c>
      <c r="I270" s="189"/>
      <c r="J270" s="189"/>
      <c r="K270" s="189"/>
    </row>
    <row r="271" spans="1:11" s="188" customFormat="1" x14ac:dyDescent="0.2">
      <c r="A271" s="186">
        <v>46124</v>
      </c>
      <c r="B271" s="187">
        <v>0.33333333333333331</v>
      </c>
      <c r="C271" s="192">
        <f t="shared" si="8"/>
        <v>1</v>
      </c>
      <c r="D271" s="189" t="s">
        <v>185</v>
      </c>
      <c r="E271" s="189" t="s">
        <v>503</v>
      </c>
      <c r="F271" s="189" t="s">
        <v>180</v>
      </c>
      <c r="G271" s="189"/>
      <c r="H271" s="192">
        <f t="shared" si="9"/>
        <v>0</v>
      </c>
      <c r="I271" s="189"/>
      <c r="J271" s="189"/>
      <c r="K271" s="189"/>
    </row>
    <row r="272" spans="1:11" s="188" customFormat="1" x14ac:dyDescent="0.2">
      <c r="A272" s="186">
        <v>46124</v>
      </c>
      <c r="B272" s="187">
        <v>0.95833333333333337</v>
      </c>
      <c r="C272" s="192"/>
      <c r="D272" s="189" t="s">
        <v>321</v>
      </c>
      <c r="E272" s="189" t="s">
        <v>632</v>
      </c>
      <c r="F272" s="189" t="s">
        <v>668</v>
      </c>
      <c r="G272" s="189"/>
      <c r="H272" s="192">
        <f t="shared" si="9"/>
        <v>0</v>
      </c>
      <c r="I272" s="189"/>
      <c r="J272" s="189"/>
      <c r="K272" s="189"/>
    </row>
    <row r="273" spans="1:11" s="188" customFormat="1" x14ac:dyDescent="0.2">
      <c r="A273" s="186">
        <v>46124</v>
      </c>
      <c r="B273" s="187">
        <v>0.66111111111111109</v>
      </c>
      <c r="C273" s="192">
        <v>0.9</v>
      </c>
      <c r="D273" s="189" t="s">
        <v>321</v>
      </c>
      <c r="E273" s="189" t="s">
        <v>632</v>
      </c>
      <c r="F273" s="189" t="s">
        <v>668</v>
      </c>
      <c r="G273" s="189"/>
      <c r="H273" s="192">
        <f t="shared" si="9"/>
        <v>0</v>
      </c>
      <c r="I273" s="189"/>
      <c r="J273" s="189"/>
      <c r="K273" s="189"/>
    </row>
    <row r="274" spans="1:11" s="188" customFormat="1" x14ac:dyDescent="0.2">
      <c r="A274" s="186">
        <v>46124</v>
      </c>
      <c r="B274" s="187">
        <v>0.66666666666666663</v>
      </c>
      <c r="C274" s="192"/>
      <c r="D274" s="189" t="s">
        <v>176</v>
      </c>
      <c r="E274" s="189" t="s">
        <v>493</v>
      </c>
      <c r="F274" s="189" t="s">
        <v>169</v>
      </c>
      <c r="G274" s="189"/>
      <c r="H274" s="192">
        <f t="shared" si="9"/>
        <v>0</v>
      </c>
      <c r="I274" s="189"/>
      <c r="J274" s="189"/>
      <c r="K274" s="189"/>
    </row>
    <row r="275" spans="1:11" s="188" customFormat="1" x14ac:dyDescent="0.2">
      <c r="A275" s="186">
        <v>46124</v>
      </c>
      <c r="B275" s="187">
        <v>0.33333333333333331</v>
      </c>
      <c r="C275" s="192">
        <f t="shared" si="8"/>
        <v>1</v>
      </c>
      <c r="D275" s="189" t="s">
        <v>176</v>
      </c>
      <c r="E275" s="189" t="s">
        <v>493</v>
      </c>
      <c r="F275" s="189" t="s">
        <v>169</v>
      </c>
      <c r="G275" s="189"/>
      <c r="H275" s="192">
        <f t="shared" si="9"/>
        <v>0</v>
      </c>
      <c r="I275" s="189"/>
      <c r="J275" s="189"/>
      <c r="K275" s="189"/>
    </row>
    <row r="276" spans="1:11" s="188" customFormat="1" x14ac:dyDescent="0.2">
      <c r="A276" s="186">
        <v>46124</v>
      </c>
      <c r="B276" s="187">
        <v>0.66666666666666663</v>
      </c>
      <c r="C276" s="192"/>
      <c r="D276" s="189" t="s">
        <v>186</v>
      </c>
      <c r="E276" s="189" t="s">
        <v>504</v>
      </c>
      <c r="F276" s="189" t="s">
        <v>668</v>
      </c>
      <c r="G276" s="189"/>
      <c r="H276" s="192">
        <f t="shared" si="9"/>
        <v>0</v>
      </c>
      <c r="I276" s="189"/>
      <c r="J276" s="189"/>
      <c r="K276" s="189"/>
    </row>
    <row r="277" spans="1:11" s="188" customFormat="1" x14ac:dyDescent="0.2">
      <c r="A277" s="186">
        <v>46124</v>
      </c>
      <c r="B277" s="187">
        <v>0.33333333333333331</v>
      </c>
      <c r="C277" s="192">
        <f t="shared" si="8"/>
        <v>1</v>
      </c>
      <c r="D277" s="189" t="s">
        <v>186</v>
      </c>
      <c r="E277" s="189" t="s">
        <v>504</v>
      </c>
      <c r="F277" s="189" t="s">
        <v>668</v>
      </c>
      <c r="G277" s="189"/>
      <c r="H277" s="192">
        <f t="shared" si="9"/>
        <v>0</v>
      </c>
      <c r="I277" s="189"/>
      <c r="J277" s="189"/>
      <c r="K277" s="189"/>
    </row>
    <row r="278" spans="1:11" s="188" customFormat="1" x14ac:dyDescent="0.2">
      <c r="A278" s="186">
        <v>46124</v>
      </c>
      <c r="B278" s="187">
        <v>0.98958333333333337</v>
      </c>
      <c r="C278" s="192"/>
      <c r="D278" s="189" t="s">
        <v>322</v>
      </c>
      <c r="E278" s="189" t="s">
        <v>633</v>
      </c>
      <c r="F278" s="189" t="s">
        <v>668</v>
      </c>
      <c r="G278" s="189"/>
      <c r="H278" s="192">
        <f t="shared" si="9"/>
        <v>0</v>
      </c>
      <c r="I278" s="189"/>
      <c r="J278" s="189"/>
      <c r="K278" s="189"/>
    </row>
    <row r="279" spans="1:11" s="188" customFormat="1" x14ac:dyDescent="0.2">
      <c r="A279" s="186">
        <v>46124</v>
      </c>
      <c r="B279" s="187">
        <v>0.65625</v>
      </c>
      <c r="C279" s="192">
        <f t="shared" si="8"/>
        <v>1.0000000000000002</v>
      </c>
      <c r="D279" s="189" t="s">
        <v>322</v>
      </c>
      <c r="E279" s="189" t="s">
        <v>633</v>
      </c>
      <c r="F279" s="189" t="s">
        <v>668</v>
      </c>
      <c r="G279" s="189"/>
      <c r="H279" s="192">
        <f t="shared" si="9"/>
        <v>0</v>
      </c>
      <c r="I279" s="189"/>
      <c r="J279" s="189"/>
      <c r="K279" s="189"/>
    </row>
    <row r="280" spans="1:11" s="188" customFormat="1" x14ac:dyDescent="0.2">
      <c r="A280" s="186">
        <v>46124</v>
      </c>
      <c r="B280" s="187">
        <v>0.66666666666666663</v>
      </c>
      <c r="C280" s="192"/>
      <c r="D280" s="189" t="s">
        <v>91</v>
      </c>
      <c r="E280" s="189" t="s">
        <v>416</v>
      </c>
      <c r="F280" s="189" t="s">
        <v>674</v>
      </c>
      <c r="G280" s="189"/>
      <c r="H280" s="192">
        <f t="shared" si="9"/>
        <v>0</v>
      </c>
      <c r="I280" s="189"/>
      <c r="J280" s="189"/>
      <c r="K280" s="189"/>
    </row>
    <row r="281" spans="1:11" s="188" customFormat="1" x14ac:dyDescent="0.2">
      <c r="A281" s="186">
        <v>46124</v>
      </c>
      <c r="B281" s="187">
        <v>0.33333333333333331</v>
      </c>
      <c r="C281" s="192">
        <f t="shared" si="8"/>
        <v>1</v>
      </c>
      <c r="D281" s="189" t="s">
        <v>91</v>
      </c>
      <c r="E281" s="189" t="s">
        <v>416</v>
      </c>
      <c r="F281" s="189" t="s">
        <v>674</v>
      </c>
      <c r="G281" s="189"/>
      <c r="H281" s="192">
        <f t="shared" si="9"/>
        <v>0</v>
      </c>
      <c r="I281" s="189"/>
      <c r="J281" s="189"/>
      <c r="K281" s="189"/>
    </row>
    <row r="282" spans="1:11" s="188" customFormat="1" x14ac:dyDescent="0.2">
      <c r="A282" s="186">
        <v>46124</v>
      </c>
      <c r="B282" s="187">
        <v>0.66666666666666663</v>
      </c>
      <c r="C282" s="192"/>
      <c r="D282" s="189" t="s">
        <v>113</v>
      </c>
      <c r="E282" s="189" t="s">
        <v>437</v>
      </c>
      <c r="F282" s="189" t="s">
        <v>674</v>
      </c>
      <c r="G282" s="189"/>
      <c r="H282" s="192">
        <f t="shared" si="9"/>
        <v>0</v>
      </c>
      <c r="I282" s="189"/>
      <c r="J282" s="189"/>
      <c r="K282" s="189"/>
    </row>
    <row r="283" spans="1:11" s="188" customFormat="1" x14ac:dyDescent="0.2">
      <c r="A283" s="186">
        <v>46124</v>
      </c>
      <c r="B283" s="187">
        <v>0.33333333333333331</v>
      </c>
      <c r="C283" s="192">
        <f t="shared" si="8"/>
        <v>1</v>
      </c>
      <c r="D283" s="189" t="s">
        <v>113</v>
      </c>
      <c r="E283" s="189" t="s">
        <v>437</v>
      </c>
      <c r="F283" s="189" t="s">
        <v>674</v>
      </c>
      <c r="G283" s="189"/>
      <c r="H283" s="192">
        <f t="shared" si="9"/>
        <v>0</v>
      </c>
      <c r="I283" s="189"/>
      <c r="J283" s="189"/>
      <c r="K283" s="189"/>
    </row>
    <row r="284" spans="1:11" s="188" customFormat="1" x14ac:dyDescent="0.2">
      <c r="A284" s="186">
        <v>46124</v>
      </c>
      <c r="B284" s="187">
        <v>0.56458333333333333</v>
      </c>
      <c r="C284" s="192"/>
      <c r="D284" s="189" t="s">
        <v>57</v>
      </c>
      <c r="E284" s="189" t="s">
        <v>380</v>
      </c>
      <c r="F284" s="189" t="s">
        <v>42</v>
      </c>
      <c r="G284" s="189"/>
      <c r="H284" s="192">
        <f t="shared" si="9"/>
        <v>0</v>
      </c>
      <c r="I284" s="189"/>
      <c r="J284" s="189"/>
      <c r="K284" s="189"/>
    </row>
    <row r="285" spans="1:11" s="188" customFormat="1" x14ac:dyDescent="0.2">
      <c r="A285" s="186">
        <v>46124</v>
      </c>
      <c r="B285" s="187">
        <v>0.33333333333333331</v>
      </c>
      <c r="C285" s="192">
        <v>0.7</v>
      </c>
      <c r="D285" s="189" t="s">
        <v>57</v>
      </c>
      <c r="E285" s="189" t="s">
        <v>380</v>
      </c>
      <c r="F285" s="189" t="s">
        <v>42</v>
      </c>
      <c r="G285" s="189"/>
      <c r="H285" s="192">
        <f t="shared" si="9"/>
        <v>0</v>
      </c>
      <c r="I285" s="189"/>
      <c r="J285" s="189"/>
      <c r="K285" s="189"/>
    </row>
    <row r="286" spans="1:11" s="188" customFormat="1" x14ac:dyDescent="0.2">
      <c r="A286" s="186">
        <v>46124</v>
      </c>
      <c r="B286" s="187">
        <v>0.66666666666666663</v>
      </c>
      <c r="C286" s="192"/>
      <c r="D286" s="189" t="s">
        <v>177</v>
      </c>
      <c r="E286" s="189" t="s">
        <v>494</v>
      </c>
      <c r="F286" s="189" t="s">
        <v>169</v>
      </c>
      <c r="G286" s="189"/>
      <c r="H286" s="192">
        <f t="shared" si="9"/>
        <v>0</v>
      </c>
      <c r="I286" s="189"/>
      <c r="J286" s="189"/>
      <c r="K286" s="189"/>
    </row>
    <row r="287" spans="1:11" s="188" customFormat="1" x14ac:dyDescent="0.2">
      <c r="A287" s="186">
        <v>46124</v>
      </c>
      <c r="B287" s="187">
        <v>0.33333333333333331</v>
      </c>
      <c r="C287" s="192">
        <f t="shared" si="8"/>
        <v>1</v>
      </c>
      <c r="D287" s="189" t="s">
        <v>177</v>
      </c>
      <c r="E287" s="189" t="s">
        <v>494</v>
      </c>
      <c r="F287" s="189" t="s">
        <v>169</v>
      </c>
      <c r="G287" s="189"/>
      <c r="H287" s="192">
        <f t="shared" si="9"/>
        <v>0</v>
      </c>
      <c r="I287" s="189"/>
      <c r="J287" s="189"/>
      <c r="K287" s="189"/>
    </row>
    <row r="288" spans="1:11" s="188" customFormat="1" x14ac:dyDescent="0.2">
      <c r="A288" s="186">
        <v>46124</v>
      </c>
      <c r="B288" s="187">
        <v>0.66666666666666663</v>
      </c>
      <c r="C288" s="192"/>
      <c r="D288" s="189" t="s">
        <v>114</v>
      </c>
      <c r="E288" s="189" t="s">
        <v>438</v>
      </c>
      <c r="F288" s="189" t="s">
        <v>232</v>
      </c>
      <c r="G288" s="189"/>
      <c r="H288" s="192">
        <f t="shared" si="9"/>
        <v>0</v>
      </c>
      <c r="I288" s="189"/>
      <c r="J288" s="189"/>
      <c r="K288" s="189"/>
    </row>
    <row r="289" spans="1:11" s="188" customFormat="1" x14ac:dyDescent="0.2">
      <c r="A289" s="186">
        <v>46124</v>
      </c>
      <c r="B289" s="187">
        <v>0.33333333333333331</v>
      </c>
      <c r="C289" s="192">
        <f t="shared" si="8"/>
        <v>1</v>
      </c>
      <c r="D289" s="189" t="s">
        <v>114</v>
      </c>
      <c r="E289" s="189" t="s">
        <v>438</v>
      </c>
      <c r="F289" s="189" t="s">
        <v>232</v>
      </c>
      <c r="G289" s="189"/>
      <c r="H289" s="192">
        <f t="shared" si="9"/>
        <v>0</v>
      </c>
      <c r="I289" s="189"/>
      <c r="J289" s="189"/>
      <c r="K289" s="189"/>
    </row>
    <row r="290" spans="1:11" s="188" customFormat="1" x14ac:dyDescent="0.2">
      <c r="A290" s="186">
        <v>46124</v>
      </c>
      <c r="B290" s="187">
        <v>0.98958333333333337</v>
      </c>
      <c r="C290" s="192"/>
      <c r="D290" s="189" t="s">
        <v>304</v>
      </c>
      <c r="E290" s="189" t="s">
        <v>615</v>
      </c>
      <c r="F290" s="189" t="s">
        <v>668</v>
      </c>
      <c r="G290" s="189"/>
      <c r="H290" s="192">
        <f t="shared" si="9"/>
        <v>0</v>
      </c>
      <c r="I290" s="189"/>
      <c r="J290" s="189"/>
      <c r="K290" s="189"/>
    </row>
    <row r="291" spans="1:11" s="188" customFormat="1" x14ac:dyDescent="0.2">
      <c r="A291" s="186">
        <v>46124</v>
      </c>
      <c r="B291" s="187">
        <v>0.65625</v>
      </c>
      <c r="C291" s="192">
        <f t="shared" si="8"/>
        <v>1.0000000000000002</v>
      </c>
      <c r="D291" s="189" t="s">
        <v>304</v>
      </c>
      <c r="E291" s="189" t="s">
        <v>615</v>
      </c>
      <c r="F291" s="189" t="s">
        <v>668</v>
      </c>
      <c r="G291" s="189"/>
      <c r="H291" s="192">
        <f t="shared" si="9"/>
        <v>0</v>
      </c>
      <c r="I291" s="189"/>
      <c r="J291" s="189"/>
      <c r="K291" s="189"/>
    </row>
    <row r="292" spans="1:11" s="188" customFormat="1" x14ac:dyDescent="0.2">
      <c r="A292" s="186">
        <v>46124</v>
      </c>
      <c r="B292" s="187">
        <v>0.66666666666666663</v>
      </c>
      <c r="C292" s="192"/>
      <c r="D292" s="189" t="s">
        <v>92</v>
      </c>
      <c r="E292" s="189" t="s">
        <v>417</v>
      </c>
      <c r="F292" s="189" t="s">
        <v>674</v>
      </c>
      <c r="G292" s="189"/>
      <c r="H292" s="192">
        <f t="shared" si="9"/>
        <v>0</v>
      </c>
      <c r="I292" s="189"/>
      <c r="J292" s="189"/>
      <c r="K292" s="189"/>
    </row>
    <row r="293" spans="1:11" s="188" customFormat="1" x14ac:dyDescent="0.2">
      <c r="A293" s="186">
        <v>46124</v>
      </c>
      <c r="B293" s="187">
        <v>0.33333333333333331</v>
      </c>
      <c r="C293" s="192">
        <f t="shared" si="8"/>
        <v>1</v>
      </c>
      <c r="D293" s="189" t="s">
        <v>92</v>
      </c>
      <c r="E293" s="189" t="s">
        <v>417</v>
      </c>
      <c r="F293" s="189" t="s">
        <v>674</v>
      </c>
      <c r="G293" s="189"/>
      <c r="H293" s="192">
        <f t="shared" si="9"/>
        <v>0</v>
      </c>
      <c r="I293" s="189"/>
      <c r="J293" s="189"/>
      <c r="K293" s="189"/>
    </row>
    <row r="294" spans="1:11" s="188" customFormat="1" x14ac:dyDescent="0.2">
      <c r="A294" s="186">
        <v>46124</v>
      </c>
      <c r="B294" s="187">
        <v>0.66666666666666663</v>
      </c>
      <c r="C294" s="192"/>
      <c r="D294" s="189" t="s">
        <v>219</v>
      </c>
      <c r="E294" s="189" t="s">
        <v>534</v>
      </c>
      <c r="F294" s="189" t="s">
        <v>232</v>
      </c>
      <c r="G294" s="189"/>
      <c r="H294" s="192">
        <f t="shared" si="9"/>
        <v>0</v>
      </c>
      <c r="I294" s="189"/>
      <c r="J294" s="189"/>
      <c r="K294" s="189"/>
    </row>
    <row r="295" spans="1:11" s="188" customFormat="1" x14ac:dyDescent="0.2">
      <c r="A295" s="186">
        <v>46124</v>
      </c>
      <c r="B295" s="187">
        <v>0.33333333333333331</v>
      </c>
      <c r="C295" s="192">
        <f t="shared" si="8"/>
        <v>1</v>
      </c>
      <c r="D295" s="189" t="s">
        <v>219</v>
      </c>
      <c r="E295" s="189" t="s">
        <v>534</v>
      </c>
      <c r="F295" s="189" t="s">
        <v>232</v>
      </c>
      <c r="G295" s="189"/>
      <c r="H295" s="192">
        <f t="shared" si="9"/>
        <v>0</v>
      </c>
      <c r="I295" s="189"/>
      <c r="J295" s="189"/>
      <c r="K295" s="189"/>
    </row>
    <row r="296" spans="1:11" s="188" customFormat="1" x14ac:dyDescent="0.2">
      <c r="A296" s="186">
        <v>46124</v>
      </c>
      <c r="B296" s="187">
        <v>0.66666666666666663</v>
      </c>
      <c r="C296" s="192"/>
      <c r="D296" s="189" t="s">
        <v>18</v>
      </c>
      <c r="E296" s="189" t="s">
        <v>341</v>
      </c>
      <c r="F296" s="189" t="s">
        <v>674</v>
      </c>
      <c r="G296" s="189"/>
      <c r="H296" s="192">
        <f t="shared" si="9"/>
        <v>0</v>
      </c>
      <c r="I296" s="189"/>
      <c r="J296" s="189"/>
      <c r="K296" s="189"/>
    </row>
    <row r="297" spans="1:11" s="188" customFormat="1" x14ac:dyDescent="0.2">
      <c r="A297" s="186">
        <v>46124</v>
      </c>
      <c r="B297" s="187">
        <v>0.33333333333333331</v>
      </c>
      <c r="C297" s="192">
        <f t="shared" si="8"/>
        <v>1</v>
      </c>
      <c r="D297" s="189" t="s">
        <v>18</v>
      </c>
      <c r="E297" s="189" t="s">
        <v>341</v>
      </c>
      <c r="F297" s="189" t="s">
        <v>674</v>
      </c>
      <c r="G297" s="189"/>
      <c r="H297" s="192">
        <f t="shared" si="9"/>
        <v>0</v>
      </c>
      <c r="I297" s="189"/>
      <c r="J297" s="189"/>
      <c r="K297" s="189"/>
    </row>
    <row r="298" spans="1:11" s="188" customFormat="1" x14ac:dyDescent="0.2">
      <c r="A298" s="186">
        <v>46124</v>
      </c>
      <c r="B298" s="187">
        <v>0.66666666666666663</v>
      </c>
      <c r="C298" s="192"/>
      <c r="D298" s="189" t="s">
        <v>142</v>
      </c>
      <c r="E298" s="189" t="s">
        <v>463</v>
      </c>
      <c r="F298" s="189" t="s">
        <v>783</v>
      </c>
      <c r="G298" s="189"/>
      <c r="H298" s="192">
        <f t="shared" si="9"/>
        <v>0</v>
      </c>
      <c r="I298" s="189"/>
      <c r="J298" s="189"/>
      <c r="K298" s="189"/>
    </row>
    <row r="299" spans="1:11" s="188" customFormat="1" x14ac:dyDescent="0.2">
      <c r="A299" s="186">
        <v>46124</v>
      </c>
      <c r="B299" s="187">
        <v>0.33333333333333331</v>
      </c>
      <c r="C299" s="192">
        <f t="shared" si="8"/>
        <v>1</v>
      </c>
      <c r="D299" s="189" t="s">
        <v>142</v>
      </c>
      <c r="E299" s="189" t="s">
        <v>463</v>
      </c>
      <c r="F299" s="189" t="s">
        <v>783</v>
      </c>
      <c r="G299" s="189"/>
      <c r="H299" s="192">
        <f t="shared" si="9"/>
        <v>0</v>
      </c>
      <c r="I299" s="189"/>
      <c r="J299" s="189"/>
      <c r="K299" s="189"/>
    </row>
    <row r="300" spans="1:11" s="188" customFormat="1" x14ac:dyDescent="0.2">
      <c r="A300" s="186">
        <v>46124</v>
      </c>
      <c r="B300" s="187">
        <v>0.66666666666666663</v>
      </c>
      <c r="C300" s="192"/>
      <c r="D300" s="189" t="s">
        <v>116</v>
      </c>
      <c r="E300" s="189" t="s">
        <v>440</v>
      </c>
      <c r="F300" s="189" t="s">
        <v>778</v>
      </c>
      <c r="G300" s="189"/>
      <c r="H300" s="192">
        <f t="shared" si="9"/>
        <v>0</v>
      </c>
      <c r="I300" s="189"/>
      <c r="J300" s="189"/>
      <c r="K300" s="189"/>
    </row>
    <row r="301" spans="1:11" s="188" customFormat="1" x14ac:dyDescent="0.2">
      <c r="A301" s="186">
        <v>46124</v>
      </c>
      <c r="B301" s="187">
        <v>0.33333333333333331</v>
      </c>
      <c r="C301" s="192">
        <f t="shared" si="8"/>
        <v>1</v>
      </c>
      <c r="D301" s="189" t="s">
        <v>116</v>
      </c>
      <c r="E301" s="189" t="s">
        <v>440</v>
      </c>
      <c r="F301" s="189" t="s">
        <v>778</v>
      </c>
      <c r="G301" s="189"/>
      <c r="H301" s="192">
        <f t="shared" si="9"/>
        <v>0</v>
      </c>
      <c r="I301" s="189"/>
      <c r="J301" s="189"/>
      <c r="K301" s="189"/>
    </row>
    <row r="302" spans="1:11" s="188" customFormat="1" x14ac:dyDescent="0.2">
      <c r="A302" s="186">
        <v>46124</v>
      </c>
      <c r="B302" s="187">
        <v>0.66666666666666663</v>
      </c>
      <c r="C302" s="192"/>
      <c r="D302" s="189" t="s">
        <v>683</v>
      </c>
      <c r="E302" s="189" t="s">
        <v>561</v>
      </c>
      <c r="F302" s="189" t="s">
        <v>232</v>
      </c>
      <c r="G302" s="189"/>
      <c r="H302" s="192">
        <f t="shared" si="9"/>
        <v>0</v>
      </c>
      <c r="I302" s="189"/>
      <c r="J302" s="189"/>
      <c r="K302" s="189"/>
    </row>
    <row r="303" spans="1:11" s="188" customFormat="1" x14ac:dyDescent="0.2">
      <c r="A303" s="186">
        <v>46124</v>
      </c>
      <c r="B303" s="187">
        <v>0.34722222222222221</v>
      </c>
      <c r="C303" s="192">
        <v>0.96</v>
      </c>
      <c r="D303" s="189" t="s">
        <v>683</v>
      </c>
      <c r="E303" s="189" t="s">
        <v>561</v>
      </c>
      <c r="F303" s="189" t="s">
        <v>232</v>
      </c>
      <c r="G303" s="189"/>
      <c r="H303" s="192">
        <f t="shared" si="9"/>
        <v>0</v>
      </c>
      <c r="I303" s="189"/>
      <c r="J303" s="189"/>
      <c r="K303" s="189"/>
    </row>
    <row r="304" spans="1:11" s="188" customFormat="1" x14ac:dyDescent="0.2">
      <c r="A304" s="186">
        <v>46124</v>
      </c>
      <c r="B304" s="187">
        <v>0.66666666666666663</v>
      </c>
      <c r="C304" s="192"/>
      <c r="D304" s="189" t="s">
        <v>843</v>
      </c>
      <c r="E304" s="189" t="s">
        <v>514</v>
      </c>
      <c r="F304" s="189" t="s">
        <v>192</v>
      </c>
      <c r="G304" s="189"/>
      <c r="H304" s="192">
        <f t="shared" si="9"/>
        <v>0</v>
      </c>
      <c r="I304" s="189"/>
      <c r="J304" s="189"/>
      <c r="K304" s="189"/>
    </row>
    <row r="305" spans="1:11" s="188" customFormat="1" x14ac:dyDescent="0.2">
      <c r="A305" s="186">
        <v>46124</v>
      </c>
      <c r="B305" s="187">
        <v>0.33333333333333331</v>
      </c>
      <c r="C305" s="192">
        <f t="shared" si="8"/>
        <v>1</v>
      </c>
      <c r="D305" s="189" t="s">
        <v>843</v>
      </c>
      <c r="E305" s="189" t="s">
        <v>514</v>
      </c>
      <c r="F305" s="189" t="s">
        <v>192</v>
      </c>
      <c r="G305" s="189"/>
      <c r="H305" s="192">
        <f t="shared" si="9"/>
        <v>0</v>
      </c>
      <c r="I305" s="189"/>
      <c r="J305" s="189"/>
      <c r="K305" s="189"/>
    </row>
    <row r="306" spans="1:11" s="188" customFormat="1" x14ac:dyDescent="0.2">
      <c r="A306" s="186">
        <v>46124</v>
      </c>
      <c r="B306" s="187">
        <v>0.66666666666666663</v>
      </c>
      <c r="C306" s="192"/>
      <c r="D306" s="189" t="s">
        <v>684</v>
      </c>
      <c r="E306" s="189" t="s">
        <v>515</v>
      </c>
      <c r="F306" s="189" t="s">
        <v>192</v>
      </c>
      <c r="G306" s="189"/>
      <c r="H306" s="192">
        <f t="shared" si="9"/>
        <v>0</v>
      </c>
      <c r="I306" s="189"/>
      <c r="J306" s="189"/>
      <c r="K306" s="189"/>
    </row>
    <row r="307" spans="1:11" s="188" customFormat="1" x14ac:dyDescent="0.2">
      <c r="A307" s="186">
        <v>46124</v>
      </c>
      <c r="B307" s="187">
        <v>0.33333333333333331</v>
      </c>
      <c r="C307" s="192">
        <f t="shared" si="8"/>
        <v>1</v>
      </c>
      <c r="D307" s="189" t="s">
        <v>684</v>
      </c>
      <c r="E307" s="189" t="s">
        <v>515</v>
      </c>
      <c r="F307" s="189" t="s">
        <v>192</v>
      </c>
      <c r="G307" s="189"/>
      <c r="H307" s="192">
        <f t="shared" si="9"/>
        <v>0</v>
      </c>
      <c r="I307" s="189"/>
      <c r="J307" s="189"/>
      <c r="K307" s="189"/>
    </row>
    <row r="308" spans="1:11" s="188" customFormat="1" x14ac:dyDescent="0.2">
      <c r="A308" s="186">
        <v>46124</v>
      </c>
      <c r="B308" s="187">
        <v>0.98958333333333337</v>
      </c>
      <c r="C308" s="192"/>
      <c r="D308" s="189" t="s">
        <v>309</v>
      </c>
      <c r="E308" s="189" t="s">
        <v>620</v>
      </c>
      <c r="F308" s="189" t="s">
        <v>232</v>
      </c>
      <c r="G308" s="189"/>
      <c r="H308" s="192">
        <f t="shared" si="9"/>
        <v>0</v>
      </c>
      <c r="I308" s="189"/>
      <c r="J308" s="189"/>
      <c r="K308" s="189"/>
    </row>
    <row r="309" spans="1:11" s="188" customFormat="1" x14ac:dyDescent="0.2">
      <c r="A309" s="186">
        <v>46124</v>
      </c>
      <c r="B309" s="187">
        <v>0.65625</v>
      </c>
      <c r="C309" s="192">
        <f t="shared" si="8"/>
        <v>1.0000000000000002</v>
      </c>
      <c r="D309" s="189" t="s">
        <v>309</v>
      </c>
      <c r="E309" s="189" t="s">
        <v>620</v>
      </c>
      <c r="F309" s="189" t="s">
        <v>232</v>
      </c>
      <c r="G309" s="189"/>
      <c r="H309" s="192">
        <f t="shared" si="9"/>
        <v>0</v>
      </c>
      <c r="I309" s="189"/>
      <c r="J309" s="189"/>
      <c r="K309" s="189"/>
    </row>
    <row r="310" spans="1:11" s="188" customFormat="1" x14ac:dyDescent="0.2">
      <c r="A310" s="186">
        <v>46124</v>
      </c>
      <c r="B310" s="187">
        <v>0.66666666666666663</v>
      </c>
      <c r="C310" s="192"/>
      <c r="D310" s="189" t="s">
        <v>282</v>
      </c>
      <c r="E310" s="189" t="s">
        <v>590</v>
      </c>
      <c r="F310" s="189" t="s">
        <v>275</v>
      </c>
      <c r="G310" s="189"/>
      <c r="H310" s="192">
        <f t="shared" si="9"/>
        <v>0</v>
      </c>
      <c r="I310" s="189"/>
      <c r="J310" s="189"/>
      <c r="K310" s="189"/>
    </row>
    <row r="311" spans="1:11" s="188" customFormat="1" x14ac:dyDescent="0.2">
      <c r="A311" s="186">
        <v>46124</v>
      </c>
      <c r="B311" s="187">
        <v>0.33333333333333331</v>
      </c>
      <c r="C311" s="192">
        <f t="shared" si="8"/>
        <v>1</v>
      </c>
      <c r="D311" s="189" t="s">
        <v>282</v>
      </c>
      <c r="E311" s="189" t="s">
        <v>590</v>
      </c>
      <c r="F311" s="189" t="s">
        <v>275</v>
      </c>
      <c r="G311" s="189"/>
      <c r="H311" s="192">
        <f t="shared" si="9"/>
        <v>0</v>
      </c>
      <c r="I311" s="189"/>
      <c r="J311" s="189"/>
      <c r="K311" s="189"/>
    </row>
    <row r="312" spans="1:11" s="188" customFormat="1" x14ac:dyDescent="0.2">
      <c r="A312" s="186">
        <v>46124</v>
      </c>
      <c r="B312" s="187">
        <v>0.66666666666666663</v>
      </c>
      <c r="C312" s="192"/>
      <c r="D312" s="189" t="s">
        <v>211</v>
      </c>
      <c r="E312" s="189" t="s">
        <v>527</v>
      </c>
      <c r="F312" s="189" t="s">
        <v>216</v>
      </c>
      <c r="G312" s="189"/>
      <c r="H312" s="192">
        <f t="shared" si="9"/>
        <v>0</v>
      </c>
      <c r="I312" s="189"/>
      <c r="J312" s="189"/>
      <c r="K312" s="189"/>
    </row>
    <row r="313" spans="1:11" s="188" customFormat="1" x14ac:dyDescent="0.2">
      <c r="A313" s="186">
        <v>46124</v>
      </c>
      <c r="B313" s="187">
        <v>0.33333333333333331</v>
      </c>
      <c r="C313" s="192">
        <f t="shared" si="8"/>
        <v>1</v>
      </c>
      <c r="D313" s="189" t="s">
        <v>211</v>
      </c>
      <c r="E313" s="189" t="s">
        <v>527</v>
      </c>
      <c r="F313" s="189" t="s">
        <v>216</v>
      </c>
      <c r="G313" s="189"/>
      <c r="H313" s="192">
        <f t="shared" si="9"/>
        <v>0</v>
      </c>
      <c r="I313" s="189"/>
      <c r="J313" s="189"/>
      <c r="K313" s="189"/>
    </row>
    <row r="314" spans="1:11" s="188" customFormat="1" x14ac:dyDescent="0.2">
      <c r="A314" s="186">
        <v>46124</v>
      </c>
      <c r="B314" s="187">
        <v>0.66666666666666663</v>
      </c>
      <c r="C314" s="192"/>
      <c r="D314" s="189" t="s">
        <v>249</v>
      </c>
      <c r="E314" s="189" t="s">
        <v>562</v>
      </c>
      <c r="F314" s="189" t="s">
        <v>232</v>
      </c>
      <c r="G314" s="189"/>
      <c r="H314" s="192">
        <f t="shared" si="9"/>
        <v>0</v>
      </c>
      <c r="I314" s="189"/>
      <c r="J314" s="189"/>
      <c r="K314" s="189"/>
    </row>
    <row r="315" spans="1:11" s="188" customFormat="1" x14ac:dyDescent="0.2">
      <c r="A315" s="186">
        <v>46124</v>
      </c>
      <c r="B315" s="187">
        <v>0.33333333333333331</v>
      </c>
      <c r="C315" s="192">
        <f t="shared" si="8"/>
        <v>1</v>
      </c>
      <c r="D315" s="189" t="s">
        <v>249</v>
      </c>
      <c r="E315" s="189" t="s">
        <v>562</v>
      </c>
      <c r="F315" s="189" t="s">
        <v>232</v>
      </c>
      <c r="G315" s="189"/>
      <c r="H315" s="192">
        <f t="shared" si="9"/>
        <v>0</v>
      </c>
      <c r="I315" s="189"/>
      <c r="J315" s="189"/>
      <c r="K315" s="189"/>
    </row>
    <row r="316" spans="1:11" s="188" customFormat="1" x14ac:dyDescent="0.2">
      <c r="A316" s="186">
        <v>46124</v>
      </c>
      <c r="B316" s="187">
        <v>0.66666666666666663</v>
      </c>
      <c r="C316" s="192"/>
      <c r="D316" s="189" t="s">
        <v>841</v>
      </c>
      <c r="E316" s="189" t="s">
        <v>518</v>
      </c>
      <c r="F316" s="189" t="s">
        <v>275</v>
      </c>
      <c r="G316" s="189"/>
      <c r="H316" s="192">
        <f t="shared" si="9"/>
        <v>0</v>
      </c>
      <c r="I316" s="189"/>
      <c r="J316" s="189"/>
      <c r="K316" s="189"/>
    </row>
    <row r="317" spans="1:11" s="188" customFormat="1" x14ac:dyDescent="0.2">
      <c r="A317" s="186">
        <v>46124</v>
      </c>
      <c r="B317" s="187">
        <v>0.33333333333333331</v>
      </c>
      <c r="C317" s="192">
        <f t="shared" si="8"/>
        <v>1</v>
      </c>
      <c r="D317" s="189" t="s">
        <v>841</v>
      </c>
      <c r="E317" s="189" t="s">
        <v>518</v>
      </c>
      <c r="F317" s="189" t="s">
        <v>275</v>
      </c>
      <c r="G317" s="189"/>
      <c r="H317" s="192">
        <f t="shared" si="9"/>
        <v>0</v>
      </c>
      <c r="I317" s="189"/>
      <c r="J317" s="189"/>
      <c r="K317" s="189"/>
    </row>
    <row r="318" spans="1:11" s="188" customFormat="1" x14ac:dyDescent="0.2">
      <c r="A318" s="186">
        <v>46124</v>
      </c>
      <c r="B318" s="187">
        <v>0.66666666666666663</v>
      </c>
      <c r="C318" s="192"/>
      <c r="D318" s="189" t="s">
        <v>20</v>
      </c>
      <c r="E318" s="189" t="s">
        <v>343</v>
      </c>
      <c r="F318" s="189" t="s">
        <v>674</v>
      </c>
      <c r="G318" s="189"/>
      <c r="H318" s="192">
        <f t="shared" si="9"/>
        <v>0</v>
      </c>
      <c r="I318" s="189"/>
      <c r="J318" s="189"/>
      <c r="K318" s="189"/>
    </row>
    <row r="319" spans="1:11" s="188" customFormat="1" x14ac:dyDescent="0.2">
      <c r="A319" s="186">
        <v>46124</v>
      </c>
      <c r="B319" s="187">
        <v>0.33333333333333331</v>
      </c>
      <c r="C319" s="192">
        <f t="shared" si="8"/>
        <v>1</v>
      </c>
      <c r="D319" s="189" t="s">
        <v>20</v>
      </c>
      <c r="E319" s="189" t="s">
        <v>343</v>
      </c>
      <c r="F319" s="189" t="s">
        <v>674</v>
      </c>
      <c r="G319" s="189"/>
      <c r="H319" s="192">
        <f t="shared" si="9"/>
        <v>0</v>
      </c>
      <c r="I319" s="189"/>
      <c r="J319" s="189"/>
      <c r="K319" s="189"/>
    </row>
    <row r="320" spans="1:11" s="188" customFormat="1" x14ac:dyDescent="0.2">
      <c r="A320" s="186">
        <v>46124</v>
      </c>
      <c r="B320" s="187">
        <v>0.98958333333333337</v>
      </c>
      <c r="C320" s="192"/>
      <c r="D320" s="189" t="s">
        <v>293</v>
      </c>
      <c r="E320" s="189" t="s">
        <v>602</v>
      </c>
      <c r="F320" s="189" t="s">
        <v>101</v>
      </c>
      <c r="G320" s="189"/>
      <c r="H320" s="192">
        <f t="shared" si="9"/>
        <v>0</v>
      </c>
      <c r="I320" s="189"/>
      <c r="J320" s="189"/>
      <c r="K320" s="189"/>
    </row>
    <row r="321" spans="1:11" s="188" customFormat="1" x14ac:dyDescent="0.2">
      <c r="A321" s="186">
        <v>46124</v>
      </c>
      <c r="B321" s="187">
        <v>0.65625</v>
      </c>
      <c r="C321" s="192">
        <f t="shared" si="8"/>
        <v>1.0000000000000002</v>
      </c>
      <c r="D321" s="189" t="s">
        <v>293</v>
      </c>
      <c r="E321" s="189" t="s">
        <v>602</v>
      </c>
      <c r="F321" s="189" t="s">
        <v>101</v>
      </c>
      <c r="G321" s="189"/>
      <c r="H321" s="192">
        <f t="shared" si="9"/>
        <v>0</v>
      </c>
      <c r="I321" s="189"/>
      <c r="J321" s="189"/>
      <c r="K321" s="189"/>
    </row>
    <row r="322" spans="1:11" s="188" customFormat="1" x14ac:dyDescent="0.2">
      <c r="A322" s="186">
        <v>46124</v>
      </c>
      <c r="B322" s="187">
        <v>0.66666666666666663</v>
      </c>
      <c r="C322" s="192"/>
      <c r="D322" s="189" t="s">
        <v>58</v>
      </c>
      <c r="E322" s="189" t="s">
        <v>381</v>
      </c>
      <c r="F322" s="189" t="s">
        <v>42</v>
      </c>
      <c r="G322" s="189"/>
      <c r="H322" s="192">
        <f t="shared" si="9"/>
        <v>0</v>
      </c>
      <c r="I322" s="189"/>
      <c r="J322" s="189"/>
      <c r="K322" s="189"/>
    </row>
    <row r="323" spans="1:11" s="188" customFormat="1" x14ac:dyDescent="0.2">
      <c r="A323" s="186">
        <v>46124</v>
      </c>
      <c r="B323" s="187">
        <v>0.33333333333333331</v>
      </c>
      <c r="C323" s="192">
        <f t="shared" si="8"/>
        <v>1</v>
      </c>
      <c r="D323" s="189" t="s">
        <v>58</v>
      </c>
      <c r="E323" s="189" t="s">
        <v>381</v>
      </c>
      <c r="F323" s="189" t="s">
        <v>42</v>
      </c>
      <c r="G323" s="189"/>
      <c r="H323" s="192">
        <f t="shared" si="9"/>
        <v>0</v>
      </c>
      <c r="I323" s="189"/>
      <c r="J323" s="189"/>
      <c r="K323" s="189"/>
    </row>
    <row r="324" spans="1:11" s="188" customFormat="1" x14ac:dyDescent="0.2">
      <c r="A324" s="186">
        <v>46124</v>
      </c>
      <c r="B324" s="187">
        <v>0.66666666666666663</v>
      </c>
      <c r="C324" s="192"/>
      <c r="D324" s="189" t="s">
        <v>271</v>
      </c>
      <c r="E324" s="189" t="s">
        <v>581</v>
      </c>
      <c r="F324" s="189" t="s">
        <v>232</v>
      </c>
      <c r="G324" s="189"/>
      <c r="H324" s="192">
        <f t="shared" si="9"/>
        <v>0</v>
      </c>
      <c r="I324" s="189"/>
      <c r="J324" s="189"/>
      <c r="K324" s="189"/>
    </row>
    <row r="325" spans="1:11" s="188" customFormat="1" x14ac:dyDescent="0.2">
      <c r="A325" s="186">
        <v>46124</v>
      </c>
      <c r="B325" s="187">
        <v>0.33333333333333331</v>
      </c>
      <c r="C325" s="192">
        <f t="shared" ref="C325:C387" si="10">(B324-B325)/TIME(8,0,0)</f>
        <v>1</v>
      </c>
      <c r="D325" s="189" t="s">
        <v>271</v>
      </c>
      <c r="E325" s="189" t="s">
        <v>581</v>
      </c>
      <c r="F325" s="189" t="s">
        <v>232</v>
      </c>
      <c r="G325" s="189"/>
      <c r="H325" s="192">
        <f t="shared" si="9"/>
        <v>0</v>
      </c>
      <c r="I325" s="189"/>
      <c r="J325" s="189"/>
      <c r="K325" s="189"/>
    </row>
    <row r="326" spans="1:11" s="188" customFormat="1" x14ac:dyDescent="0.2">
      <c r="A326" s="186">
        <v>46124</v>
      </c>
      <c r="B326" s="187">
        <v>0.66666666666666663</v>
      </c>
      <c r="C326" s="192"/>
      <c r="D326" s="189" t="s">
        <v>283</v>
      </c>
      <c r="E326" s="189" t="s">
        <v>591</v>
      </c>
      <c r="F326" s="189" t="s">
        <v>155</v>
      </c>
      <c r="G326" s="189"/>
      <c r="H326" s="192">
        <f t="shared" si="9"/>
        <v>0</v>
      </c>
      <c r="I326" s="189"/>
      <c r="J326" s="189"/>
      <c r="K326" s="189"/>
    </row>
    <row r="327" spans="1:11" s="188" customFormat="1" x14ac:dyDescent="0.2">
      <c r="A327" s="186">
        <v>46124</v>
      </c>
      <c r="B327" s="187">
        <v>0.33333333333333331</v>
      </c>
      <c r="C327" s="192">
        <f t="shared" si="10"/>
        <v>1</v>
      </c>
      <c r="D327" s="189" t="s">
        <v>283</v>
      </c>
      <c r="E327" s="189" t="s">
        <v>591</v>
      </c>
      <c r="F327" s="189" t="s">
        <v>155</v>
      </c>
      <c r="G327" s="189"/>
      <c r="H327" s="192">
        <f t="shared" si="9"/>
        <v>0</v>
      </c>
      <c r="I327" s="189"/>
      <c r="J327" s="189"/>
      <c r="K327" s="189"/>
    </row>
    <row r="328" spans="1:11" s="188" customFormat="1" x14ac:dyDescent="0.2">
      <c r="A328" s="186">
        <v>46124</v>
      </c>
      <c r="B328" s="187">
        <v>0.66666666666666663</v>
      </c>
      <c r="C328" s="192"/>
      <c r="D328" s="189" t="s">
        <v>117</v>
      </c>
      <c r="E328" s="189" t="s">
        <v>441</v>
      </c>
      <c r="F328" s="189" t="s">
        <v>101</v>
      </c>
      <c r="G328" s="189"/>
      <c r="H328" s="192">
        <f t="shared" si="9"/>
        <v>0</v>
      </c>
      <c r="I328" s="189"/>
      <c r="J328" s="189"/>
      <c r="K328" s="189"/>
    </row>
    <row r="329" spans="1:11" s="188" customFormat="1" x14ac:dyDescent="0.2">
      <c r="A329" s="186">
        <v>46124</v>
      </c>
      <c r="B329" s="187">
        <v>0.33333333333333331</v>
      </c>
      <c r="C329" s="192">
        <f t="shared" si="10"/>
        <v>1</v>
      </c>
      <c r="D329" s="189" t="s">
        <v>117</v>
      </c>
      <c r="E329" s="189" t="s">
        <v>441</v>
      </c>
      <c r="F329" s="189" t="s">
        <v>101</v>
      </c>
      <c r="G329" s="189"/>
      <c r="H329" s="192">
        <f t="shared" si="9"/>
        <v>0</v>
      </c>
      <c r="I329" s="189"/>
      <c r="J329" s="189"/>
      <c r="K329" s="189"/>
    </row>
    <row r="330" spans="1:11" s="188" customFormat="1" x14ac:dyDescent="0.2">
      <c r="A330" s="186">
        <v>46124</v>
      </c>
      <c r="B330" s="187">
        <v>0.98958333333333337</v>
      </c>
      <c r="C330" s="192"/>
      <c r="D330" s="189" t="s">
        <v>685</v>
      </c>
      <c r="E330" s="189" t="s">
        <v>622</v>
      </c>
      <c r="F330" s="189" t="s">
        <v>677</v>
      </c>
      <c r="G330" s="189"/>
      <c r="H330" s="192">
        <f t="shared" si="9"/>
        <v>0</v>
      </c>
      <c r="I330" s="189"/>
      <c r="J330" s="189"/>
      <c r="K330" s="189"/>
    </row>
    <row r="331" spans="1:11" s="188" customFormat="1" x14ac:dyDescent="0.2">
      <c r="A331" s="186">
        <v>46124</v>
      </c>
      <c r="B331" s="187">
        <v>0.65625</v>
      </c>
      <c r="C331" s="192">
        <f t="shared" si="10"/>
        <v>1.0000000000000002</v>
      </c>
      <c r="D331" s="189" t="s">
        <v>685</v>
      </c>
      <c r="E331" s="189" t="s">
        <v>622</v>
      </c>
      <c r="F331" s="189" t="s">
        <v>677</v>
      </c>
      <c r="G331" s="189"/>
      <c r="H331" s="192">
        <f t="shared" si="9"/>
        <v>0</v>
      </c>
      <c r="I331" s="189"/>
      <c r="J331" s="189"/>
      <c r="K331" s="189"/>
    </row>
    <row r="332" spans="1:11" s="188" customFormat="1" x14ac:dyDescent="0.2">
      <c r="A332" s="186">
        <v>46124</v>
      </c>
      <c r="B332" s="187">
        <v>0.66666666666666663</v>
      </c>
      <c r="C332" s="192"/>
      <c r="D332" s="189" t="s">
        <v>1100</v>
      </c>
      <c r="E332" s="189" t="s">
        <v>480</v>
      </c>
      <c r="F332" s="189" t="s">
        <v>155</v>
      </c>
      <c r="G332" s="189"/>
      <c r="H332" s="192">
        <f t="shared" si="9"/>
        <v>0</v>
      </c>
      <c r="I332" s="189"/>
      <c r="J332" s="189"/>
      <c r="K332" s="189"/>
    </row>
    <row r="333" spans="1:11" s="188" customFormat="1" x14ac:dyDescent="0.2">
      <c r="A333" s="186">
        <v>46124</v>
      </c>
      <c r="B333" s="187">
        <v>0.33333333333333331</v>
      </c>
      <c r="C333" s="192">
        <f t="shared" si="10"/>
        <v>1</v>
      </c>
      <c r="D333" s="189" t="s">
        <v>1100</v>
      </c>
      <c r="E333" s="189" t="s">
        <v>480</v>
      </c>
      <c r="F333" s="189" t="s">
        <v>155</v>
      </c>
      <c r="G333" s="189"/>
      <c r="H333" s="192">
        <f t="shared" si="9"/>
        <v>0</v>
      </c>
      <c r="I333" s="189"/>
      <c r="J333" s="189"/>
      <c r="K333" s="189"/>
    </row>
    <row r="334" spans="1:11" s="188" customFormat="1" x14ac:dyDescent="0.2">
      <c r="A334" s="186">
        <v>46124</v>
      </c>
      <c r="B334" s="187">
        <v>0.66666666666666663</v>
      </c>
      <c r="C334" s="192"/>
      <c r="D334" s="189" t="s">
        <v>21</v>
      </c>
      <c r="E334" s="189" t="s">
        <v>344</v>
      </c>
      <c r="F334" s="189" t="s">
        <v>674</v>
      </c>
      <c r="G334" s="189"/>
      <c r="H334" s="192">
        <f t="shared" ref="H334:H397" si="11">(G333-G334)/TIME(1,0,0)</f>
        <v>0</v>
      </c>
      <c r="I334" s="189"/>
      <c r="J334" s="189"/>
      <c r="K334" s="189"/>
    </row>
    <row r="335" spans="1:11" s="188" customFormat="1" x14ac:dyDescent="0.2">
      <c r="A335" s="186">
        <v>46124</v>
      </c>
      <c r="B335" s="187">
        <v>0.33333333333333331</v>
      </c>
      <c r="C335" s="192">
        <f t="shared" si="10"/>
        <v>1</v>
      </c>
      <c r="D335" s="189" t="s">
        <v>21</v>
      </c>
      <c r="E335" s="189" t="s">
        <v>344</v>
      </c>
      <c r="F335" s="189" t="s">
        <v>674</v>
      </c>
      <c r="G335" s="189"/>
      <c r="H335" s="192">
        <f t="shared" si="11"/>
        <v>0</v>
      </c>
      <c r="I335" s="189"/>
      <c r="J335" s="189"/>
      <c r="K335" s="189"/>
    </row>
    <row r="336" spans="1:11" s="188" customFormat="1" x14ac:dyDescent="0.2">
      <c r="A336" s="186">
        <v>46124</v>
      </c>
      <c r="B336" s="187">
        <v>0.66666666666666663</v>
      </c>
      <c r="C336" s="192"/>
      <c r="D336" s="189" t="s">
        <v>187</v>
      </c>
      <c r="E336" s="189" t="s">
        <v>505</v>
      </c>
      <c r="F336" s="189" t="s">
        <v>784</v>
      </c>
      <c r="G336" s="189"/>
      <c r="H336" s="192">
        <f t="shared" si="11"/>
        <v>0</v>
      </c>
      <c r="I336" s="189"/>
      <c r="J336" s="189"/>
      <c r="K336" s="189"/>
    </row>
    <row r="337" spans="1:11" s="188" customFormat="1" x14ac:dyDescent="0.2">
      <c r="A337" s="186">
        <v>46124</v>
      </c>
      <c r="B337" s="187">
        <v>0.33333333333333331</v>
      </c>
      <c r="C337" s="192">
        <f t="shared" si="10"/>
        <v>1</v>
      </c>
      <c r="D337" s="189" t="s">
        <v>187</v>
      </c>
      <c r="E337" s="189" t="s">
        <v>505</v>
      </c>
      <c r="F337" s="189" t="s">
        <v>784</v>
      </c>
      <c r="G337" s="189"/>
      <c r="H337" s="192">
        <f t="shared" si="11"/>
        <v>0</v>
      </c>
      <c r="I337" s="189"/>
      <c r="J337" s="189"/>
      <c r="K337" s="189"/>
    </row>
    <row r="338" spans="1:11" s="188" customFormat="1" x14ac:dyDescent="0.2">
      <c r="A338" s="186">
        <v>46124</v>
      </c>
      <c r="B338" s="187">
        <v>0.66666666666666663</v>
      </c>
      <c r="C338" s="192"/>
      <c r="D338" s="189" t="s">
        <v>163</v>
      </c>
      <c r="E338" s="189" t="s">
        <v>481</v>
      </c>
      <c r="F338" s="189" t="s">
        <v>155</v>
      </c>
      <c r="G338" s="189"/>
      <c r="H338" s="192">
        <f t="shared" si="11"/>
        <v>0</v>
      </c>
      <c r="I338" s="189"/>
      <c r="J338" s="189"/>
      <c r="K338" s="189"/>
    </row>
    <row r="339" spans="1:11" s="188" customFormat="1" x14ac:dyDescent="0.2">
      <c r="A339" s="186">
        <v>46124</v>
      </c>
      <c r="B339" s="187">
        <v>0.33333333333333331</v>
      </c>
      <c r="C339" s="192">
        <f t="shared" si="10"/>
        <v>1</v>
      </c>
      <c r="D339" s="189" t="s">
        <v>163</v>
      </c>
      <c r="E339" s="189" t="s">
        <v>481</v>
      </c>
      <c r="F339" s="189" t="s">
        <v>155</v>
      </c>
      <c r="G339" s="189"/>
      <c r="H339" s="192">
        <f t="shared" si="11"/>
        <v>0</v>
      </c>
      <c r="I339" s="189"/>
      <c r="J339" s="189"/>
      <c r="K339" s="189"/>
    </row>
    <row r="340" spans="1:11" s="188" customFormat="1" x14ac:dyDescent="0.2">
      <c r="A340" s="186">
        <v>46124</v>
      </c>
      <c r="B340" s="187">
        <v>0.41736111111111113</v>
      </c>
      <c r="C340" s="192"/>
      <c r="D340" s="189" t="s">
        <v>41</v>
      </c>
      <c r="E340" s="189" t="s">
        <v>364</v>
      </c>
      <c r="F340" s="189" t="s">
        <v>785</v>
      </c>
      <c r="G340" s="189"/>
      <c r="H340" s="192">
        <f t="shared" si="11"/>
        <v>0</v>
      </c>
      <c r="I340" s="189"/>
      <c r="J340" s="189"/>
      <c r="K340" s="189"/>
    </row>
    <row r="341" spans="1:11" s="188" customFormat="1" x14ac:dyDescent="0.2">
      <c r="A341" s="186">
        <v>46124</v>
      </c>
      <c r="B341" s="187">
        <v>0.33333333333333331</v>
      </c>
      <c r="C341" s="192">
        <v>0.25</v>
      </c>
      <c r="D341" s="189" t="s">
        <v>41</v>
      </c>
      <c r="E341" s="189" t="s">
        <v>364</v>
      </c>
      <c r="F341" s="189" t="s">
        <v>785</v>
      </c>
      <c r="G341" s="189"/>
      <c r="H341" s="192">
        <f t="shared" si="11"/>
        <v>0</v>
      </c>
      <c r="I341" s="189"/>
      <c r="J341" s="189"/>
      <c r="K341" s="189"/>
    </row>
    <row r="342" spans="1:11" s="188" customFormat="1" x14ac:dyDescent="0.2">
      <c r="A342" s="186">
        <v>46124</v>
      </c>
      <c r="B342" s="187">
        <v>0.66666666666666663</v>
      </c>
      <c r="C342" s="192"/>
      <c r="D342" s="189" t="s">
        <v>93</v>
      </c>
      <c r="E342" s="189" t="s">
        <v>418</v>
      </c>
      <c r="F342" s="189" t="s">
        <v>767</v>
      </c>
      <c r="G342" s="189"/>
      <c r="H342" s="192">
        <f t="shared" si="11"/>
        <v>0</v>
      </c>
      <c r="I342" s="189"/>
      <c r="J342" s="189"/>
      <c r="K342" s="189"/>
    </row>
    <row r="343" spans="1:11" s="188" customFormat="1" x14ac:dyDescent="0.2">
      <c r="A343" s="186">
        <v>46124</v>
      </c>
      <c r="B343" s="187">
        <v>0.33333333333333331</v>
      </c>
      <c r="C343" s="192">
        <f t="shared" si="10"/>
        <v>1</v>
      </c>
      <c r="D343" s="189" t="s">
        <v>93</v>
      </c>
      <c r="E343" s="189" t="s">
        <v>418</v>
      </c>
      <c r="F343" s="189" t="s">
        <v>767</v>
      </c>
      <c r="G343" s="189"/>
      <c r="H343" s="192">
        <f t="shared" si="11"/>
        <v>0</v>
      </c>
      <c r="I343" s="189"/>
      <c r="J343" s="189"/>
      <c r="K343" s="189"/>
    </row>
    <row r="344" spans="1:11" s="188" customFormat="1" x14ac:dyDescent="0.2">
      <c r="A344" s="186">
        <v>46124</v>
      </c>
      <c r="B344" s="187">
        <v>0.98958333333333337</v>
      </c>
      <c r="C344" s="192"/>
      <c r="D344" s="189" t="s">
        <v>312</v>
      </c>
      <c r="E344" s="189" t="s">
        <v>623</v>
      </c>
      <c r="F344" s="189" t="s">
        <v>208</v>
      </c>
      <c r="G344" s="189"/>
      <c r="H344" s="192">
        <f t="shared" si="11"/>
        <v>0</v>
      </c>
      <c r="I344" s="189"/>
      <c r="J344" s="189"/>
      <c r="K344" s="189"/>
    </row>
    <row r="345" spans="1:11" s="188" customFormat="1" x14ac:dyDescent="0.2">
      <c r="A345" s="186">
        <v>46124</v>
      </c>
      <c r="B345" s="187">
        <v>0.65625</v>
      </c>
      <c r="C345" s="192">
        <f t="shared" si="10"/>
        <v>1.0000000000000002</v>
      </c>
      <c r="D345" s="189" t="s">
        <v>312</v>
      </c>
      <c r="E345" s="189" t="s">
        <v>623</v>
      </c>
      <c r="F345" s="189" t="s">
        <v>208</v>
      </c>
      <c r="G345" s="189"/>
      <c r="H345" s="192">
        <f t="shared" si="11"/>
        <v>0</v>
      </c>
      <c r="I345" s="189"/>
      <c r="J345" s="189"/>
      <c r="K345" s="189"/>
    </row>
    <row r="346" spans="1:11" s="188" customFormat="1" x14ac:dyDescent="0.2">
      <c r="A346" s="186">
        <v>46124</v>
      </c>
      <c r="B346" s="187">
        <v>0.98958333333333337</v>
      </c>
      <c r="C346" s="192"/>
      <c r="D346" s="189" t="s">
        <v>315</v>
      </c>
      <c r="E346" s="189" t="s">
        <v>626</v>
      </c>
      <c r="F346" s="189" t="s">
        <v>261</v>
      </c>
      <c r="G346" s="189"/>
      <c r="H346" s="192">
        <f t="shared" si="11"/>
        <v>0</v>
      </c>
      <c r="I346" s="189"/>
      <c r="J346" s="189"/>
      <c r="K346" s="189"/>
    </row>
    <row r="347" spans="1:11" s="188" customFormat="1" x14ac:dyDescent="0.2">
      <c r="A347" s="186">
        <v>46124</v>
      </c>
      <c r="B347" s="187">
        <v>0.65625</v>
      </c>
      <c r="C347" s="192">
        <f t="shared" si="10"/>
        <v>1.0000000000000002</v>
      </c>
      <c r="D347" s="189" t="s">
        <v>315</v>
      </c>
      <c r="E347" s="189" t="s">
        <v>626</v>
      </c>
      <c r="F347" s="189" t="s">
        <v>261</v>
      </c>
      <c r="G347" s="189"/>
      <c r="H347" s="192">
        <f t="shared" si="11"/>
        <v>0</v>
      </c>
      <c r="I347" s="189"/>
      <c r="J347" s="189"/>
      <c r="K347" s="189"/>
    </row>
    <row r="348" spans="1:11" s="188" customFormat="1" x14ac:dyDescent="0.2">
      <c r="A348" s="186">
        <v>46124</v>
      </c>
      <c r="B348" s="187">
        <v>0.66666666666666663</v>
      </c>
      <c r="C348" s="192"/>
      <c r="D348" s="189" t="s">
        <v>188</v>
      </c>
      <c r="E348" s="189" t="s">
        <v>506</v>
      </c>
      <c r="F348" s="189" t="s">
        <v>180</v>
      </c>
      <c r="G348" s="189"/>
      <c r="H348" s="192">
        <f t="shared" si="11"/>
        <v>0</v>
      </c>
      <c r="I348" s="189"/>
      <c r="J348" s="189"/>
      <c r="K348" s="189"/>
    </row>
    <row r="349" spans="1:11" s="188" customFormat="1" x14ac:dyDescent="0.2">
      <c r="A349" s="186">
        <v>46124</v>
      </c>
      <c r="B349" s="187">
        <v>0.33333333333333331</v>
      </c>
      <c r="C349" s="192">
        <f t="shared" si="10"/>
        <v>1</v>
      </c>
      <c r="D349" s="189" t="s">
        <v>188</v>
      </c>
      <c r="E349" s="189" t="s">
        <v>506</v>
      </c>
      <c r="F349" s="189" t="s">
        <v>180</v>
      </c>
      <c r="G349" s="189"/>
      <c r="H349" s="192">
        <f t="shared" si="11"/>
        <v>0</v>
      </c>
      <c r="I349" s="189"/>
      <c r="J349" s="189"/>
      <c r="K349" s="189"/>
    </row>
    <row r="350" spans="1:11" s="188" customFormat="1" x14ac:dyDescent="0.2">
      <c r="A350" s="186">
        <v>46124</v>
      </c>
      <c r="B350" s="187">
        <v>0.66666666666666663</v>
      </c>
      <c r="C350" s="192"/>
      <c r="D350" s="189" t="s">
        <v>260</v>
      </c>
      <c r="E350" s="189" t="s">
        <v>571</v>
      </c>
      <c r="F350" s="189" t="s">
        <v>224</v>
      </c>
      <c r="G350" s="189"/>
      <c r="H350" s="192">
        <f t="shared" si="11"/>
        <v>0</v>
      </c>
      <c r="I350" s="189"/>
      <c r="J350" s="189"/>
      <c r="K350" s="189"/>
    </row>
    <row r="351" spans="1:11" s="188" customFormat="1" x14ac:dyDescent="0.2">
      <c r="A351" s="186">
        <v>46124</v>
      </c>
      <c r="B351" s="187">
        <v>0.33333333333333331</v>
      </c>
      <c r="C351" s="192">
        <f t="shared" si="10"/>
        <v>1</v>
      </c>
      <c r="D351" s="189" t="s">
        <v>260</v>
      </c>
      <c r="E351" s="189" t="s">
        <v>571</v>
      </c>
      <c r="F351" s="189" t="s">
        <v>224</v>
      </c>
      <c r="G351" s="189"/>
      <c r="H351" s="192">
        <f t="shared" si="11"/>
        <v>0</v>
      </c>
      <c r="I351" s="189"/>
      <c r="J351" s="189"/>
      <c r="K351" s="189"/>
    </row>
    <row r="352" spans="1:11" s="188" customFormat="1" x14ac:dyDescent="0.2">
      <c r="A352" s="186">
        <v>46124</v>
      </c>
      <c r="B352" s="187">
        <v>0.66666666666666663</v>
      </c>
      <c r="C352" s="192"/>
      <c r="D352" s="189" t="s">
        <v>230</v>
      </c>
      <c r="E352" s="189" t="s">
        <v>544</v>
      </c>
      <c r="F352" s="189" t="s">
        <v>674</v>
      </c>
      <c r="G352" s="189"/>
      <c r="H352" s="192">
        <f t="shared" si="11"/>
        <v>0</v>
      </c>
      <c r="I352" s="189"/>
      <c r="J352" s="189"/>
      <c r="K352" s="189"/>
    </row>
    <row r="353" spans="1:11" s="188" customFormat="1" x14ac:dyDescent="0.2">
      <c r="A353" s="186">
        <v>46124</v>
      </c>
      <c r="B353" s="187">
        <v>0.36736111111111114</v>
      </c>
      <c r="C353" s="192">
        <v>0.89</v>
      </c>
      <c r="D353" s="189" t="s">
        <v>230</v>
      </c>
      <c r="E353" s="189" t="s">
        <v>544</v>
      </c>
      <c r="F353" s="189" t="s">
        <v>674</v>
      </c>
      <c r="G353" s="189"/>
      <c r="H353" s="192">
        <f t="shared" si="11"/>
        <v>0</v>
      </c>
      <c r="I353" s="189"/>
      <c r="J353" s="189"/>
      <c r="K353" s="189"/>
    </row>
    <row r="354" spans="1:11" s="188" customFormat="1" x14ac:dyDescent="0.2">
      <c r="A354" s="186">
        <v>46124</v>
      </c>
      <c r="B354" s="187">
        <v>0.98958333333333337</v>
      </c>
      <c r="C354" s="192"/>
      <c r="D354" s="189" t="s">
        <v>744</v>
      </c>
      <c r="E354" s="189" t="s">
        <v>336</v>
      </c>
      <c r="F354" s="189" t="s">
        <v>687</v>
      </c>
      <c r="G354" s="189"/>
      <c r="H354" s="192">
        <f t="shared" si="11"/>
        <v>0</v>
      </c>
      <c r="I354" s="189"/>
      <c r="J354" s="189"/>
      <c r="K354" s="189"/>
    </row>
    <row r="355" spans="1:11" s="188" customFormat="1" x14ac:dyDescent="0.2">
      <c r="A355" s="186">
        <v>46124</v>
      </c>
      <c r="B355" s="187">
        <v>0.65625</v>
      </c>
      <c r="C355" s="192">
        <f t="shared" si="10"/>
        <v>1.0000000000000002</v>
      </c>
      <c r="D355" s="189" t="s">
        <v>744</v>
      </c>
      <c r="E355" s="189" t="s">
        <v>336</v>
      </c>
      <c r="F355" s="189" t="s">
        <v>687</v>
      </c>
      <c r="G355" s="189"/>
      <c r="H355" s="192">
        <f t="shared" si="11"/>
        <v>0</v>
      </c>
      <c r="I355" s="189"/>
      <c r="J355" s="189"/>
      <c r="K355" s="189"/>
    </row>
    <row r="356" spans="1:11" s="188" customFormat="1" x14ac:dyDescent="0.2">
      <c r="A356" s="186">
        <v>46124</v>
      </c>
      <c r="B356" s="187">
        <v>0.66666666666666663</v>
      </c>
      <c r="C356" s="192"/>
      <c r="D356" s="189" t="s">
        <v>213</v>
      </c>
      <c r="E356" s="189" t="s">
        <v>529</v>
      </c>
      <c r="F356" s="189" t="s">
        <v>208</v>
      </c>
      <c r="G356" s="189"/>
      <c r="H356" s="192">
        <f t="shared" si="11"/>
        <v>0</v>
      </c>
      <c r="I356" s="189"/>
      <c r="J356" s="189"/>
      <c r="K356" s="189"/>
    </row>
    <row r="357" spans="1:11" s="188" customFormat="1" x14ac:dyDescent="0.2">
      <c r="A357" s="186">
        <v>46124</v>
      </c>
      <c r="B357" s="187">
        <v>0.33333333333333331</v>
      </c>
      <c r="C357" s="192">
        <f t="shared" si="10"/>
        <v>1</v>
      </c>
      <c r="D357" s="189" t="s">
        <v>213</v>
      </c>
      <c r="E357" s="189" t="s">
        <v>529</v>
      </c>
      <c r="F357" s="189" t="s">
        <v>208</v>
      </c>
      <c r="G357" s="189"/>
      <c r="H357" s="192">
        <f t="shared" si="11"/>
        <v>0</v>
      </c>
      <c r="I357" s="189"/>
      <c r="J357" s="189"/>
      <c r="K357" s="189"/>
    </row>
    <row r="358" spans="1:11" s="188" customFormat="1" x14ac:dyDescent="0.2">
      <c r="A358" s="186">
        <v>46124</v>
      </c>
      <c r="B358" s="187">
        <v>0.66666666666666663</v>
      </c>
      <c r="C358" s="192"/>
      <c r="D358" s="189" t="s">
        <v>220</v>
      </c>
      <c r="E358" s="189" t="s">
        <v>535</v>
      </c>
      <c r="F358" s="189" t="s">
        <v>216</v>
      </c>
      <c r="G358" s="189"/>
      <c r="H358" s="192">
        <f t="shared" si="11"/>
        <v>0</v>
      </c>
      <c r="I358" s="189"/>
      <c r="J358" s="189"/>
      <c r="K358" s="189"/>
    </row>
    <row r="359" spans="1:11" s="188" customFormat="1" x14ac:dyDescent="0.2">
      <c r="A359" s="186">
        <v>46124</v>
      </c>
      <c r="B359" s="187">
        <v>0.33333333333333331</v>
      </c>
      <c r="C359" s="192">
        <f t="shared" si="10"/>
        <v>1</v>
      </c>
      <c r="D359" s="189" t="s">
        <v>220</v>
      </c>
      <c r="E359" s="189" t="s">
        <v>535</v>
      </c>
      <c r="F359" s="189" t="s">
        <v>216</v>
      </c>
      <c r="G359" s="189"/>
      <c r="H359" s="192">
        <f t="shared" si="11"/>
        <v>0</v>
      </c>
      <c r="I359" s="189"/>
      <c r="J359" s="189"/>
      <c r="K359" s="189"/>
    </row>
    <row r="360" spans="1:11" s="188" customFormat="1" x14ac:dyDescent="0.2">
      <c r="A360" s="186">
        <v>46124</v>
      </c>
      <c r="B360" s="187">
        <v>0.66666666666666663</v>
      </c>
      <c r="C360" s="192"/>
      <c r="D360" s="189" t="s">
        <v>165</v>
      </c>
      <c r="E360" s="189" t="s">
        <v>483</v>
      </c>
      <c r="F360" s="189" t="s">
        <v>155</v>
      </c>
      <c r="G360" s="189"/>
      <c r="H360" s="192">
        <f t="shared" si="11"/>
        <v>0</v>
      </c>
      <c r="I360" s="189"/>
      <c r="J360" s="189"/>
      <c r="K360" s="189"/>
    </row>
    <row r="361" spans="1:11" s="188" customFormat="1" x14ac:dyDescent="0.2">
      <c r="A361" s="186">
        <v>46124</v>
      </c>
      <c r="B361" s="187">
        <v>0.33333333333333331</v>
      </c>
      <c r="C361" s="192">
        <f t="shared" si="10"/>
        <v>1</v>
      </c>
      <c r="D361" s="189" t="s">
        <v>165</v>
      </c>
      <c r="E361" s="189" t="s">
        <v>483</v>
      </c>
      <c r="F361" s="189" t="s">
        <v>155</v>
      </c>
      <c r="G361" s="189"/>
      <c r="H361" s="192">
        <f t="shared" si="11"/>
        <v>0</v>
      </c>
      <c r="I361" s="189"/>
      <c r="J361" s="189"/>
      <c r="K361" s="189"/>
    </row>
    <row r="362" spans="1:11" s="188" customFormat="1" x14ac:dyDescent="0.2">
      <c r="A362" s="186">
        <v>46124</v>
      </c>
      <c r="B362" s="187">
        <v>0.98958333333333337</v>
      </c>
      <c r="C362" s="192"/>
      <c r="D362" s="189" t="s">
        <v>323</v>
      </c>
      <c r="E362" s="189" t="s">
        <v>634</v>
      </c>
      <c r="F362" s="189" t="s">
        <v>232</v>
      </c>
      <c r="G362" s="189"/>
      <c r="H362" s="192">
        <f t="shared" si="11"/>
        <v>0</v>
      </c>
      <c r="I362" s="189"/>
      <c r="J362" s="189"/>
      <c r="K362" s="189"/>
    </row>
    <row r="363" spans="1:11" s="188" customFormat="1" x14ac:dyDescent="0.2">
      <c r="A363" s="186">
        <v>46124</v>
      </c>
      <c r="B363" s="187">
        <v>0.65625</v>
      </c>
      <c r="C363" s="192">
        <f t="shared" si="10"/>
        <v>1.0000000000000002</v>
      </c>
      <c r="D363" s="189" t="s">
        <v>323</v>
      </c>
      <c r="E363" s="189" t="s">
        <v>634</v>
      </c>
      <c r="F363" s="189" t="s">
        <v>232</v>
      </c>
      <c r="G363" s="189"/>
      <c r="H363" s="192">
        <f t="shared" si="11"/>
        <v>0</v>
      </c>
      <c r="I363" s="189"/>
      <c r="J363" s="189"/>
      <c r="K363" s="189"/>
    </row>
    <row r="364" spans="1:11" s="188" customFormat="1" x14ac:dyDescent="0.2">
      <c r="A364" s="186">
        <v>46124</v>
      </c>
      <c r="B364" s="187">
        <v>0.66666666666666663</v>
      </c>
      <c r="C364" s="192"/>
      <c r="D364" s="189" t="s">
        <v>250</v>
      </c>
      <c r="E364" s="189" t="s">
        <v>563</v>
      </c>
      <c r="F364" s="189"/>
      <c r="G364" s="189"/>
      <c r="H364" s="192">
        <f t="shared" si="11"/>
        <v>0</v>
      </c>
      <c r="I364" s="189"/>
      <c r="J364" s="189"/>
      <c r="K364" s="189"/>
    </row>
    <row r="365" spans="1:11" s="188" customFormat="1" x14ac:dyDescent="0.2">
      <c r="A365" s="186">
        <v>46124</v>
      </c>
      <c r="B365" s="187">
        <v>0.33333333333333331</v>
      </c>
      <c r="C365" s="192">
        <f t="shared" si="10"/>
        <v>1</v>
      </c>
      <c r="D365" s="189" t="s">
        <v>250</v>
      </c>
      <c r="E365" s="189" t="s">
        <v>563</v>
      </c>
      <c r="F365" s="189"/>
      <c r="G365" s="189"/>
      <c r="H365" s="192">
        <f t="shared" si="11"/>
        <v>0</v>
      </c>
      <c r="I365" s="189"/>
      <c r="J365" s="189"/>
      <c r="K365" s="189"/>
    </row>
    <row r="366" spans="1:11" s="188" customFormat="1" x14ac:dyDescent="0.2">
      <c r="A366" s="186">
        <v>46124</v>
      </c>
      <c r="B366" s="187">
        <v>0.66666666666666663</v>
      </c>
      <c r="C366" s="192"/>
      <c r="D366" s="189" t="s">
        <v>739</v>
      </c>
      <c r="E366" s="189" t="s">
        <v>655</v>
      </c>
      <c r="F366" s="189" t="s">
        <v>786</v>
      </c>
      <c r="G366" s="189"/>
      <c r="H366" s="192">
        <f t="shared" si="11"/>
        <v>0</v>
      </c>
      <c r="I366" s="189"/>
      <c r="J366" s="189"/>
      <c r="K366" s="189"/>
    </row>
    <row r="367" spans="1:11" s="188" customFormat="1" x14ac:dyDescent="0.2">
      <c r="A367" s="186">
        <v>46124</v>
      </c>
      <c r="B367" s="187">
        <v>0.33333333333333331</v>
      </c>
      <c r="C367" s="192">
        <f t="shared" si="10"/>
        <v>1</v>
      </c>
      <c r="D367" s="189" t="s">
        <v>739</v>
      </c>
      <c r="E367" s="189" t="s">
        <v>655</v>
      </c>
      <c r="F367" s="189" t="s">
        <v>786</v>
      </c>
      <c r="G367" s="189"/>
      <c r="H367" s="192">
        <f t="shared" si="11"/>
        <v>0</v>
      </c>
      <c r="I367" s="189"/>
      <c r="J367" s="189"/>
      <c r="K367" s="189"/>
    </row>
    <row r="368" spans="1:11" s="188" customFormat="1" x14ac:dyDescent="0.2">
      <c r="A368" s="186">
        <v>46124</v>
      </c>
      <c r="B368" s="187">
        <v>0.66666666666666663</v>
      </c>
      <c r="C368" s="192"/>
      <c r="D368" s="189" t="s">
        <v>59</v>
      </c>
      <c r="E368" s="189" t="s">
        <v>382</v>
      </c>
      <c r="F368" s="189" t="s">
        <v>42</v>
      </c>
      <c r="G368" s="189"/>
      <c r="H368" s="192">
        <f t="shared" si="11"/>
        <v>0</v>
      </c>
      <c r="I368" s="189"/>
      <c r="J368" s="189"/>
      <c r="K368" s="189"/>
    </row>
    <row r="369" spans="1:11" s="188" customFormat="1" x14ac:dyDescent="0.2">
      <c r="A369" s="186">
        <v>46124</v>
      </c>
      <c r="B369" s="187">
        <v>0.33333333333333331</v>
      </c>
      <c r="C369" s="192">
        <f t="shared" si="10"/>
        <v>1</v>
      </c>
      <c r="D369" s="189" t="s">
        <v>59</v>
      </c>
      <c r="E369" s="189" t="s">
        <v>382</v>
      </c>
      <c r="F369" s="189" t="s">
        <v>42</v>
      </c>
      <c r="G369" s="189"/>
      <c r="H369" s="192">
        <f t="shared" si="11"/>
        <v>0</v>
      </c>
      <c r="I369" s="189"/>
      <c r="J369" s="189"/>
      <c r="K369" s="189"/>
    </row>
    <row r="370" spans="1:11" s="188" customFormat="1" x14ac:dyDescent="0.2">
      <c r="A370" s="186">
        <v>46124</v>
      </c>
      <c r="B370" s="187">
        <v>0.66666666666666663</v>
      </c>
      <c r="C370" s="192"/>
      <c r="D370" s="189" t="s">
        <v>284</v>
      </c>
      <c r="E370" s="189" t="s">
        <v>592</v>
      </c>
      <c r="F370" s="189" t="s">
        <v>275</v>
      </c>
      <c r="G370" s="189"/>
      <c r="H370" s="192">
        <f t="shared" si="11"/>
        <v>0</v>
      </c>
      <c r="I370" s="189"/>
      <c r="J370" s="189"/>
      <c r="K370" s="189"/>
    </row>
    <row r="371" spans="1:11" s="188" customFormat="1" x14ac:dyDescent="0.2">
      <c r="A371" s="186">
        <v>46124</v>
      </c>
      <c r="B371" s="187">
        <v>0.33333333333333331</v>
      </c>
      <c r="C371" s="192">
        <f t="shared" si="10"/>
        <v>1</v>
      </c>
      <c r="D371" s="189" t="s">
        <v>284</v>
      </c>
      <c r="E371" s="189" t="s">
        <v>592</v>
      </c>
      <c r="F371" s="189" t="s">
        <v>275</v>
      </c>
      <c r="G371" s="189"/>
      <c r="H371" s="192">
        <f t="shared" si="11"/>
        <v>0</v>
      </c>
      <c r="I371" s="189"/>
      <c r="J371" s="189"/>
      <c r="K371" s="189"/>
    </row>
    <row r="372" spans="1:11" s="188" customFormat="1" x14ac:dyDescent="0.2">
      <c r="A372" s="186">
        <v>46124</v>
      </c>
      <c r="B372" s="187">
        <v>0.66666666666666663</v>
      </c>
      <c r="C372" s="192"/>
      <c r="D372" s="189" t="s">
        <v>251</v>
      </c>
      <c r="E372" s="189" t="s">
        <v>564</v>
      </c>
      <c r="F372" s="189" t="s">
        <v>668</v>
      </c>
      <c r="G372" s="189"/>
      <c r="H372" s="192">
        <f t="shared" si="11"/>
        <v>0</v>
      </c>
      <c r="I372" s="189"/>
      <c r="J372" s="189"/>
      <c r="K372" s="189"/>
    </row>
    <row r="373" spans="1:11" s="188" customFormat="1" x14ac:dyDescent="0.2">
      <c r="A373" s="186">
        <v>46124</v>
      </c>
      <c r="B373" s="187">
        <v>0.33333333333333331</v>
      </c>
      <c r="C373" s="192">
        <f t="shared" si="10"/>
        <v>1</v>
      </c>
      <c r="D373" s="189" t="s">
        <v>251</v>
      </c>
      <c r="E373" s="189" t="s">
        <v>564</v>
      </c>
      <c r="F373" s="189" t="s">
        <v>668</v>
      </c>
      <c r="G373" s="189"/>
      <c r="H373" s="192">
        <f t="shared" si="11"/>
        <v>0</v>
      </c>
      <c r="I373" s="189"/>
      <c r="J373" s="189"/>
      <c r="K373" s="189"/>
    </row>
    <row r="374" spans="1:11" s="188" customFormat="1" x14ac:dyDescent="0.2">
      <c r="A374" s="186">
        <v>46124</v>
      </c>
      <c r="B374" s="187">
        <v>0.66666666666666663</v>
      </c>
      <c r="C374" s="192"/>
      <c r="D374" s="189" t="s">
        <v>204</v>
      </c>
      <c r="E374" s="189" t="s">
        <v>520</v>
      </c>
      <c r="F374" s="189" t="s">
        <v>199</v>
      </c>
      <c r="G374" s="189"/>
      <c r="H374" s="192">
        <f t="shared" si="11"/>
        <v>0</v>
      </c>
      <c r="I374" s="189"/>
      <c r="J374" s="189"/>
      <c r="K374" s="189"/>
    </row>
    <row r="375" spans="1:11" s="188" customFormat="1" x14ac:dyDescent="0.2">
      <c r="A375" s="186">
        <v>46124</v>
      </c>
      <c r="B375" s="187">
        <v>0.33333333333333331</v>
      </c>
      <c r="C375" s="192">
        <f t="shared" si="10"/>
        <v>1</v>
      </c>
      <c r="D375" s="189" t="s">
        <v>204</v>
      </c>
      <c r="E375" s="189" t="s">
        <v>520</v>
      </c>
      <c r="F375" s="189" t="s">
        <v>199</v>
      </c>
      <c r="G375" s="189"/>
      <c r="H375" s="192">
        <f t="shared" si="11"/>
        <v>0</v>
      </c>
      <c r="I375" s="189"/>
      <c r="J375" s="189"/>
      <c r="K375" s="189"/>
    </row>
    <row r="376" spans="1:11" s="188" customFormat="1" x14ac:dyDescent="0.2">
      <c r="A376" s="186">
        <v>46124</v>
      </c>
      <c r="B376" s="187">
        <v>0.66666666666666663</v>
      </c>
      <c r="C376" s="192"/>
      <c r="D376" s="189" t="s">
        <v>285</v>
      </c>
      <c r="E376" s="189" t="s">
        <v>593</v>
      </c>
      <c r="F376" s="189" t="s">
        <v>199</v>
      </c>
      <c r="G376" s="189"/>
      <c r="H376" s="192">
        <f t="shared" si="11"/>
        <v>0</v>
      </c>
      <c r="I376" s="189"/>
      <c r="J376" s="189"/>
      <c r="K376" s="189"/>
    </row>
    <row r="377" spans="1:11" s="188" customFormat="1" x14ac:dyDescent="0.2">
      <c r="A377" s="186">
        <v>46124</v>
      </c>
      <c r="B377" s="187">
        <v>0.33333333333333331</v>
      </c>
      <c r="C377" s="192">
        <f t="shared" si="10"/>
        <v>1</v>
      </c>
      <c r="D377" s="189" t="s">
        <v>285</v>
      </c>
      <c r="E377" s="189" t="s">
        <v>593</v>
      </c>
      <c r="F377" s="189" t="s">
        <v>199</v>
      </c>
      <c r="G377" s="189"/>
      <c r="H377" s="192">
        <f t="shared" si="11"/>
        <v>0</v>
      </c>
      <c r="I377" s="189"/>
      <c r="J377" s="189"/>
      <c r="K377" s="189"/>
    </row>
    <row r="378" spans="1:11" s="188" customFormat="1" x14ac:dyDescent="0.2">
      <c r="A378" s="186">
        <v>46124</v>
      </c>
      <c r="B378" s="187">
        <v>0.66666666666666663</v>
      </c>
      <c r="C378" s="192"/>
      <c r="D378" s="189" t="s">
        <v>118</v>
      </c>
      <c r="E378" s="189" t="s">
        <v>442</v>
      </c>
      <c r="F378" s="189" t="s">
        <v>101</v>
      </c>
      <c r="G378" s="189"/>
      <c r="H378" s="192">
        <f t="shared" si="11"/>
        <v>0</v>
      </c>
      <c r="I378" s="189"/>
      <c r="J378" s="189"/>
      <c r="K378" s="189"/>
    </row>
    <row r="379" spans="1:11" s="188" customFormat="1" x14ac:dyDescent="0.2">
      <c r="A379" s="186">
        <v>46124</v>
      </c>
      <c r="B379" s="187">
        <v>0.33333333333333331</v>
      </c>
      <c r="C379" s="192">
        <f t="shared" si="10"/>
        <v>1</v>
      </c>
      <c r="D379" s="189" t="s">
        <v>118</v>
      </c>
      <c r="E379" s="189" t="s">
        <v>442</v>
      </c>
      <c r="F379" s="189" t="s">
        <v>101</v>
      </c>
      <c r="G379" s="189"/>
      <c r="H379" s="192">
        <f t="shared" si="11"/>
        <v>0</v>
      </c>
      <c r="I379" s="189"/>
      <c r="J379" s="189"/>
      <c r="K379" s="189"/>
    </row>
    <row r="380" spans="1:11" s="188" customFormat="1" x14ac:dyDescent="0.2">
      <c r="A380" s="186">
        <v>46124</v>
      </c>
      <c r="B380" s="187">
        <v>0.98958333333333337</v>
      </c>
      <c r="C380" s="192"/>
      <c r="D380" s="189" t="s">
        <v>313</v>
      </c>
      <c r="E380" s="189" t="s">
        <v>624</v>
      </c>
      <c r="F380" s="189" t="s">
        <v>216</v>
      </c>
      <c r="G380" s="189"/>
      <c r="H380" s="192">
        <f t="shared" si="11"/>
        <v>0</v>
      </c>
      <c r="I380" s="189"/>
      <c r="J380" s="189"/>
      <c r="K380" s="189"/>
    </row>
    <row r="381" spans="1:11" s="188" customFormat="1" x14ac:dyDescent="0.2">
      <c r="A381" s="186">
        <v>46124</v>
      </c>
      <c r="B381" s="187">
        <v>0.65625</v>
      </c>
      <c r="C381" s="192">
        <f t="shared" si="10"/>
        <v>1.0000000000000002</v>
      </c>
      <c r="D381" s="189" t="s">
        <v>313</v>
      </c>
      <c r="E381" s="189" t="s">
        <v>624</v>
      </c>
      <c r="F381" s="189" t="s">
        <v>216</v>
      </c>
      <c r="G381" s="189"/>
      <c r="H381" s="192">
        <f t="shared" si="11"/>
        <v>0</v>
      </c>
      <c r="I381" s="189"/>
      <c r="J381" s="189"/>
      <c r="K381" s="189"/>
    </row>
    <row r="382" spans="1:11" s="188" customFormat="1" x14ac:dyDescent="0.2">
      <c r="A382" s="186">
        <v>46124</v>
      </c>
      <c r="B382" s="187">
        <v>0.98958333333333337</v>
      </c>
      <c r="C382" s="192"/>
      <c r="D382" s="189" t="s">
        <v>637</v>
      </c>
      <c r="E382" s="189" t="s">
        <v>594</v>
      </c>
      <c r="F382" s="189" t="s">
        <v>199</v>
      </c>
      <c r="G382" s="189"/>
      <c r="H382" s="192">
        <f t="shared" si="11"/>
        <v>0</v>
      </c>
      <c r="I382" s="189"/>
      <c r="J382" s="189"/>
      <c r="K382" s="189"/>
    </row>
    <row r="383" spans="1:11" s="188" customFormat="1" x14ac:dyDescent="0.2">
      <c r="A383" s="186">
        <v>46124</v>
      </c>
      <c r="B383" s="187">
        <v>0.65625</v>
      </c>
      <c r="C383" s="192">
        <f t="shared" si="10"/>
        <v>1.0000000000000002</v>
      </c>
      <c r="D383" s="189" t="s">
        <v>637</v>
      </c>
      <c r="E383" s="189" t="s">
        <v>594</v>
      </c>
      <c r="F383" s="189" t="s">
        <v>199</v>
      </c>
      <c r="G383" s="189"/>
      <c r="H383" s="192">
        <f t="shared" si="11"/>
        <v>0</v>
      </c>
      <c r="I383" s="189"/>
      <c r="J383" s="189"/>
      <c r="K383" s="189"/>
    </row>
    <row r="384" spans="1:11" s="188" customFormat="1" x14ac:dyDescent="0.2">
      <c r="A384" s="186">
        <v>46124</v>
      </c>
      <c r="B384" s="187">
        <v>0.66666666666666663</v>
      </c>
      <c r="C384" s="192"/>
      <c r="D384" s="189" t="s">
        <v>286</v>
      </c>
      <c r="E384" s="189" t="s">
        <v>595</v>
      </c>
      <c r="F384" s="189" t="s">
        <v>275</v>
      </c>
      <c r="G384" s="189"/>
      <c r="H384" s="192">
        <f t="shared" si="11"/>
        <v>0</v>
      </c>
      <c r="I384" s="189"/>
      <c r="J384" s="189"/>
      <c r="K384" s="189"/>
    </row>
    <row r="385" spans="1:11" s="188" customFormat="1" x14ac:dyDescent="0.2">
      <c r="A385" s="186">
        <v>46124</v>
      </c>
      <c r="B385" s="187">
        <v>0.33333333333333331</v>
      </c>
      <c r="C385" s="192">
        <f t="shared" si="10"/>
        <v>1</v>
      </c>
      <c r="D385" s="189" t="s">
        <v>286</v>
      </c>
      <c r="E385" s="189" t="s">
        <v>595</v>
      </c>
      <c r="F385" s="189" t="s">
        <v>275</v>
      </c>
      <c r="G385" s="189"/>
      <c r="H385" s="192">
        <f t="shared" si="11"/>
        <v>0</v>
      </c>
      <c r="I385" s="189"/>
      <c r="J385" s="189"/>
      <c r="K385" s="189"/>
    </row>
    <row r="386" spans="1:11" s="188" customFormat="1" x14ac:dyDescent="0.2">
      <c r="A386" s="186">
        <v>46124</v>
      </c>
      <c r="B386" s="187">
        <v>0.66666666666666663</v>
      </c>
      <c r="C386" s="192"/>
      <c r="D386" s="189" t="s">
        <v>166</v>
      </c>
      <c r="E386" s="189" t="s">
        <v>484</v>
      </c>
      <c r="F386" s="189" t="s">
        <v>275</v>
      </c>
      <c r="G386" s="189"/>
      <c r="H386" s="192">
        <f t="shared" si="11"/>
        <v>0</v>
      </c>
      <c r="I386" s="189"/>
      <c r="J386" s="189"/>
      <c r="K386" s="189"/>
    </row>
    <row r="387" spans="1:11" s="188" customFormat="1" x14ac:dyDescent="0.2">
      <c r="A387" s="186">
        <v>46124</v>
      </c>
      <c r="B387" s="187">
        <v>0.33333333333333331</v>
      </c>
      <c r="C387" s="192">
        <f t="shared" si="10"/>
        <v>1</v>
      </c>
      <c r="D387" s="189" t="s">
        <v>166</v>
      </c>
      <c r="E387" s="189" t="s">
        <v>484</v>
      </c>
      <c r="F387" s="189" t="s">
        <v>275</v>
      </c>
      <c r="G387" s="189"/>
      <c r="H387" s="192">
        <f t="shared" si="11"/>
        <v>0</v>
      </c>
      <c r="I387" s="189"/>
      <c r="J387" s="189"/>
      <c r="K387" s="189"/>
    </row>
    <row r="388" spans="1:11" s="188" customFormat="1" x14ac:dyDescent="0.2">
      <c r="A388" s="186">
        <v>46124</v>
      </c>
      <c r="B388" s="187">
        <v>0.66666666666666663</v>
      </c>
      <c r="C388" s="192"/>
      <c r="D388" s="189" t="s">
        <v>287</v>
      </c>
      <c r="E388" s="189" t="s">
        <v>596</v>
      </c>
      <c r="F388" s="189" t="s">
        <v>275</v>
      </c>
      <c r="G388" s="189"/>
      <c r="H388" s="192">
        <f t="shared" si="11"/>
        <v>0</v>
      </c>
      <c r="I388" s="189"/>
      <c r="J388" s="189"/>
      <c r="K388" s="189"/>
    </row>
    <row r="389" spans="1:11" s="188" customFormat="1" x14ac:dyDescent="0.2">
      <c r="A389" s="186">
        <v>46124</v>
      </c>
      <c r="B389" s="187">
        <v>0.33333333333333331</v>
      </c>
      <c r="C389" s="192">
        <f t="shared" ref="C389:C450" si="12">(B388-B389)/TIME(8,0,0)</f>
        <v>1</v>
      </c>
      <c r="D389" s="189" t="s">
        <v>287</v>
      </c>
      <c r="E389" s="189" t="s">
        <v>596</v>
      </c>
      <c r="F389" s="189" t="s">
        <v>275</v>
      </c>
      <c r="G389" s="189"/>
      <c r="H389" s="192">
        <f t="shared" si="11"/>
        <v>0</v>
      </c>
      <c r="I389" s="189"/>
      <c r="J389" s="189"/>
      <c r="K389" s="189"/>
    </row>
    <row r="390" spans="1:11" s="188" customFormat="1" x14ac:dyDescent="0.2">
      <c r="A390" s="186">
        <v>46124</v>
      </c>
      <c r="B390" s="187">
        <v>0.66666666666666663</v>
      </c>
      <c r="C390" s="192"/>
      <c r="D390" s="189" t="s">
        <v>119</v>
      </c>
      <c r="E390" s="189" t="s">
        <v>443</v>
      </c>
      <c r="F390" s="189" t="s">
        <v>101</v>
      </c>
      <c r="G390" s="189"/>
      <c r="H390" s="192">
        <f t="shared" si="11"/>
        <v>0</v>
      </c>
      <c r="I390" s="189"/>
      <c r="J390" s="189"/>
      <c r="K390" s="189"/>
    </row>
    <row r="391" spans="1:11" s="188" customFormat="1" x14ac:dyDescent="0.2">
      <c r="A391" s="186">
        <v>46124</v>
      </c>
      <c r="B391" s="187">
        <v>0.33333333333333331</v>
      </c>
      <c r="C391" s="192">
        <f t="shared" si="12"/>
        <v>1</v>
      </c>
      <c r="D391" s="189" t="s">
        <v>119</v>
      </c>
      <c r="E391" s="189" t="s">
        <v>443</v>
      </c>
      <c r="F391" s="189" t="s">
        <v>101</v>
      </c>
      <c r="G391" s="189"/>
      <c r="H391" s="192">
        <f t="shared" si="11"/>
        <v>0</v>
      </c>
      <c r="I391" s="189"/>
      <c r="J391" s="189"/>
      <c r="K391" s="189"/>
    </row>
    <row r="392" spans="1:11" s="188" customFormat="1" x14ac:dyDescent="0.2">
      <c r="A392" s="186">
        <v>46124</v>
      </c>
      <c r="B392" s="187">
        <v>0.98958333333333337</v>
      </c>
      <c r="C392" s="192"/>
      <c r="D392" s="189" t="s">
        <v>317</v>
      </c>
      <c r="E392" s="189" t="s">
        <v>628</v>
      </c>
      <c r="F392" s="189" t="s">
        <v>668</v>
      </c>
      <c r="G392" s="189"/>
      <c r="H392" s="192">
        <f t="shared" si="11"/>
        <v>0</v>
      </c>
      <c r="I392" s="189"/>
      <c r="J392" s="189"/>
      <c r="K392" s="189"/>
    </row>
    <row r="393" spans="1:11" s="188" customFormat="1" x14ac:dyDescent="0.2">
      <c r="A393" s="186">
        <v>46124</v>
      </c>
      <c r="B393" s="187">
        <v>0.65625</v>
      </c>
      <c r="C393" s="192">
        <f t="shared" si="12"/>
        <v>1.0000000000000002</v>
      </c>
      <c r="D393" s="189" t="s">
        <v>317</v>
      </c>
      <c r="E393" s="189" t="s">
        <v>628</v>
      </c>
      <c r="F393" s="189" t="s">
        <v>668</v>
      </c>
      <c r="G393" s="189"/>
      <c r="H393" s="192">
        <f t="shared" si="11"/>
        <v>0</v>
      </c>
      <c r="I393" s="189"/>
      <c r="J393" s="189"/>
      <c r="K393" s="189"/>
    </row>
    <row r="394" spans="1:11" s="188" customFormat="1" x14ac:dyDescent="0.2">
      <c r="A394" s="186">
        <v>46124</v>
      </c>
      <c r="B394" s="187">
        <v>0.66666666666666663</v>
      </c>
      <c r="C394" s="192"/>
      <c r="D394" s="189" t="s">
        <v>288</v>
      </c>
      <c r="E394" s="189" t="s">
        <v>597</v>
      </c>
      <c r="F394" s="189" t="s">
        <v>787</v>
      </c>
      <c r="G394" s="189"/>
      <c r="H394" s="192">
        <f t="shared" si="11"/>
        <v>0</v>
      </c>
      <c r="I394" s="189"/>
      <c r="J394" s="189"/>
      <c r="K394" s="189"/>
    </row>
    <row r="395" spans="1:11" s="188" customFormat="1" x14ac:dyDescent="0.2">
      <c r="A395" s="186">
        <v>46124</v>
      </c>
      <c r="B395" s="187">
        <v>0.33333333333333331</v>
      </c>
      <c r="C395" s="192">
        <f t="shared" si="12"/>
        <v>1</v>
      </c>
      <c r="D395" s="189" t="s">
        <v>288</v>
      </c>
      <c r="E395" s="189" t="s">
        <v>597</v>
      </c>
      <c r="F395" s="189" t="s">
        <v>787</v>
      </c>
      <c r="G395" s="189"/>
      <c r="H395" s="192">
        <f t="shared" si="11"/>
        <v>0</v>
      </c>
      <c r="I395" s="189"/>
      <c r="J395" s="189"/>
      <c r="K395" s="189"/>
    </row>
    <row r="396" spans="1:11" s="188" customFormat="1" x14ac:dyDescent="0.2">
      <c r="A396" s="186">
        <v>46124</v>
      </c>
      <c r="B396" s="187">
        <v>0.66666666666666663</v>
      </c>
      <c r="C396" s="192"/>
      <c r="D396" s="189" t="s">
        <v>689</v>
      </c>
      <c r="E396" s="189" t="s">
        <v>521</v>
      </c>
      <c r="F396" s="189" t="s">
        <v>199</v>
      </c>
      <c r="G396" s="189"/>
      <c r="H396" s="192">
        <f t="shared" si="11"/>
        <v>0</v>
      </c>
      <c r="I396" s="189"/>
      <c r="J396" s="189"/>
      <c r="K396" s="189"/>
    </row>
    <row r="397" spans="1:11" s="188" customFormat="1" x14ac:dyDescent="0.2">
      <c r="A397" s="186">
        <v>46124</v>
      </c>
      <c r="B397" s="187">
        <v>0.33333333333333331</v>
      </c>
      <c r="C397" s="192">
        <f t="shared" si="12"/>
        <v>1</v>
      </c>
      <c r="D397" s="189" t="s">
        <v>689</v>
      </c>
      <c r="E397" s="189" t="s">
        <v>521</v>
      </c>
      <c r="F397" s="189" t="s">
        <v>199</v>
      </c>
      <c r="G397" s="189"/>
      <c r="H397" s="192">
        <f t="shared" si="11"/>
        <v>0</v>
      </c>
      <c r="I397" s="189"/>
      <c r="J397" s="189"/>
      <c r="K397" s="189"/>
    </row>
    <row r="398" spans="1:11" s="188" customFormat="1" x14ac:dyDescent="0.2">
      <c r="A398" s="186">
        <v>46124</v>
      </c>
      <c r="B398" s="187">
        <v>0.66666666666666663</v>
      </c>
      <c r="C398" s="192"/>
      <c r="D398" s="189" t="s">
        <v>190</v>
      </c>
      <c r="E398" s="189" t="s">
        <v>508</v>
      </c>
      <c r="F398" s="189" t="s">
        <v>668</v>
      </c>
      <c r="G398" s="189"/>
      <c r="H398" s="192">
        <f t="shared" ref="H398:H461" si="13">(G397-G398)/TIME(1,0,0)</f>
        <v>0</v>
      </c>
      <c r="I398" s="189"/>
      <c r="J398" s="189"/>
      <c r="K398" s="189"/>
    </row>
    <row r="399" spans="1:11" s="188" customFormat="1" x14ac:dyDescent="0.2">
      <c r="A399" s="186">
        <v>46124</v>
      </c>
      <c r="B399" s="187">
        <v>0.33333333333333331</v>
      </c>
      <c r="C399" s="192">
        <f t="shared" si="12"/>
        <v>1</v>
      </c>
      <c r="D399" s="189" t="s">
        <v>190</v>
      </c>
      <c r="E399" s="189" t="s">
        <v>508</v>
      </c>
      <c r="F399" s="189" t="s">
        <v>668</v>
      </c>
      <c r="G399" s="189"/>
      <c r="H399" s="192">
        <f t="shared" si="13"/>
        <v>0</v>
      </c>
      <c r="I399" s="189"/>
      <c r="J399" s="189"/>
      <c r="K399" s="189"/>
    </row>
    <row r="400" spans="1:11" s="188" customFormat="1" x14ac:dyDescent="0.2">
      <c r="A400" s="186">
        <v>46124</v>
      </c>
      <c r="B400" s="187">
        <v>0.5</v>
      </c>
      <c r="C400" s="192"/>
      <c r="D400" s="189" t="s">
        <v>154</v>
      </c>
      <c r="E400" s="189" t="s">
        <v>473</v>
      </c>
      <c r="F400" s="189" t="s">
        <v>677</v>
      </c>
      <c r="G400" s="189"/>
      <c r="H400" s="192">
        <f t="shared" si="13"/>
        <v>0</v>
      </c>
      <c r="I400" s="189"/>
      <c r="J400" s="189"/>
      <c r="K400" s="189"/>
    </row>
    <row r="401" spans="1:11" s="188" customFormat="1" x14ac:dyDescent="0.2">
      <c r="A401" s="186">
        <v>46124</v>
      </c>
      <c r="B401" s="187">
        <v>0.33333333333333331</v>
      </c>
      <c r="C401" s="192">
        <v>0.5</v>
      </c>
      <c r="D401" s="189" t="s">
        <v>154</v>
      </c>
      <c r="E401" s="189" t="s">
        <v>473</v>
      </c>
      <c r="F401" s="189" t="s">
        <v>677</v>
      </c>
      <c r="G401" s="189"/>
      <c r="H401" s="192">
        <f t="shared" si="13"/>
        <v>0</v>
      </c>
      <c r="I401" s="189"/>
      <c r="J401" s="189"/>
      <c r="K401" s="189"/>
    </row>
    <row r="402" spans="1:11" s="188" customFormat="1" x14ac:dyDescent="0.2">
      <c r="A402" s="186">
        <v>46124</v>
      </c>
      <c r="B402" s="187">
        <v>0.98958333333333337</v>
      </c>
      <c r="C402" s="192"/>
      <c r="D402" s="189" t="s">
        <v>844</v>
      </c>
      <c r="E402" s="189" t="s">
        <v>607</v>
      </c>
      <c r="F402" s="189" t="s">
        <v>668</v>
      </c>
      <c r="G402" s="189"/>
      <c r="H402" s="192">
        <f t="shared" si="13"/>
        <v>0</v>
      </c>
      <c r="I402" s="189"/>
      <c r="J402" s="189"/>
      <c r="K402" s="189"/>
    </row>
    <row r="403" spans="1:11" s="188" customFormat="1" x14ac:dyDescent="0.2">
      <c r="A403" s="186">
        <v>46124</v>
      </c>
      <c r="B403" s="187">
        <v>0.65625</v>
      </c>
      <c r="C403" s="192">
        <f t="shared" si="12"/>
        <v>1.0000000000000002</v>
      </c>
      <c r="D403" s="189" t="s">
        <v>844</v>
      </c>
      <c r="E403" s="189" t="s">
        <v>607</v>
      </c>
      <c r="F403" s="189" t="s">
        <v>668</v>
      </c>
      <c r="G403" s="189"/>
      <c r="H403" s="192">
        <f t="shared" si="13"/>
        <v>0</v>
      </c>
      <c r="I403" s="189"/>
      <c r="J403" s="189"/>
      <c r="K403" s="189"/>
    </row>
    <row r="404" spans="1:11" s="188" customFormat="1" x14ac:dyDescent="0.2">
      <c r="A404" s="186">
        <v>46124</v>
      </c>
      <c r="B404" s="187">
        <v>0.66666666666666663</v>
      </c>
      <c r="C404" s="192"/>
      <c r="D404" s="189" t="s">
        <v>94</v>
      </c>
      <c r="E404" s="189" t="s">
        <v>419</v>
      </c>
      <c r="F404" s="189" t="s">
        <v>674</v>
      </c>
      <c r="G404" s="189"/>
      <c r="H404" s="192">
        <f t="shared" si="13"/>
        <v>0</v>
      </c>
      <c r="I404" s="189"/>
      <c r="J404" s="189"/>
      <c r="K404" s="189"/>
    </row>
    <row r="405" spans="1:11" s="188" customFormat="1" x14ac:dyDescent="0.2">
      <c r="A405" s="186">
        <v>46124</v>
      </c>
      <c r="B405" s="187">
        <v>0.33333333333333331</v>
      </c>
      <c r="C405" s="192">
        <f t="shared" si="12"/>
        <v>1</v>
      </c>
      <c r="D405" s="189" t="s">
        <v>94</v>
      </c>
      <c r="E405" s="189" t="s">
        <v>419</v>
      </c>
      <c r="F405" s="189" t="s">
        <v>674</v>
      </c>
      <c r="G405" s="189"/>
      <c r="H405" s="192">
        <f t="shared" si="13"/>
        <v>0</v>
      </c>
      <c r="I405" s="189"/>
      <c r="J405" s="189"/>
      <c r="K405" s="189"/>
    </row>
    <row r="406" spans="1:11" s="188" customFormat="1" x14ac:dyDescent="0.2">
      <c r="A406" s="186">
        <v>46124</v>
      </c>
      <c r="B406" s="187">
        <v>0.66666666666666663</v>
      </c>
      <c r="C406" s="192"/>
      <c r="D406" s="189" t="s">
        <v>120</v>
      </c>
      <c r="E406" s="189" t="s">
        <v>444</v>
      </c>
      <c r="F406" s="189" t="s">
        <v>668</v>
      </c>
      <c r="G406" s="189"/>
      <c r="H406" s="192">
        <f t="shared" si="13"/>
        <v>0</v>
      </c>
      <c r="I406" s="189"/>
      <c r="J406" s="189"/>
      <c r="K406" s="189"/>
    </row>
    <row r="407" spans="1:11" s="188" customFormat="1" x14ac:dyDescent="0.2">
      <c r="A407" s="186">
        <v>46124</v>
      </c>
      <c r="B407" s="187">
        <v>0.33333333333333331</v>
      </c>
      <c r="C407" s="192">
        <f t="shared" si="12"/>
        <v>1</v>
      </c>
      <c r="D407" s="189" t="s">
        <v>120</v>
      </c>
      <c r="E407" s="189" t="s">
        <v>444</v>
      </c>
      <c r="F407" s="189" t="s">
        <v>668</v>
      </c>
      <c r="G407" s="189"/>
      <c r="H407" s="192">
        <f t="shared" si="13"/>
        <v>0</v>
      </c>
      <c r="I407" s="189"/>
      <c r="J407" s="189"/>
      <c r="K407" s="189"/>
    </row>
    <row r="408" spans="1:11" s="188" customFormat="1" x14ac:dyDescent="0.2">
      <c r="A408" s="186">
        <v>46124</v>
      </c>
      <c r="B408" s="187">
        <v>0.66666666666666663</v>
      </c>
      <c r="C408" s="192"/>
      <c r="D408" s="189" t="s">
        <v>252</v>
      </c>
      <c r="E408" s="189" t="s">
        <v>565</v>
      </c>
      <c r="F408" s="189" t="s">
        <v>232</v>
      </c>
      <c r="G408" s="189"/>
      <c r="H408" s="192">
        <f t="shared" si="13"/>
        <v>0</v>
      </c>
      <c r="I408" s="189"/>
      <c r="J408" s="189"/>
      <c r="K408" s="189"/>
    </row>
    <row r="409" spans="1:11" s="188" customFormat="1" x14ac:dyDescent="0.2">
      <c r="A409" s="186">
        <v>46124</v>
      </c>
      <c r="B409" s="187">
        <v>0.33333333333333331</v>
      </c>
      <c r="C409" s="192">
        <f t="shared" si="12"/>
        <v>1</v>
      </c>
      <c r="D409" s="189" t="s">
        <v>252</v>
      </c>
      <c r="E409" s="189" t="s">
        <v>565</v>
      </c>
      <c r="F409" s="189" t="s">
        <v>232</v>
      </c>
      <c r="G409" s="189"/>
      <c r="H409" s="192">
        <f t="shared" si="13"/>
        <v>0</v>
      </c>
      <c r="I409" s="189"/>
      <c r="J409" s="189"/>
      <c r="K409" s="189"/>
    </row>
    <row r="410" spans="1:11" s="188" customFormat="1" x14ac:dyDescent="0.2">
      <c r="A410" s="186">
        <v>46124</v>
      </c>
      <c r="B410" s="187">
        <v>0.66666666666666663</v>
      </c>
      <c r="C410" s="192"/>
      <c r="D410" s="189" t="s">
        <v>14</v>
      </c>
      <c r="E410" s="189" t="s">
        <v>337</v>
      </c>
      <c r="F410" s="189" t="s">
        <v>788</v>
      </c>
      <c r="G410" s="189"/>
      <c r="H410" s="192">
        <f t="shared" si="13"/>
        <v>0</v>
      </c>
      <c r="I410" s="189"/>
      <c r="J410" s="189"/>
      <c r="K410" s="189"/>
    </row>
    <row r="411" spans="1:11" s="188" customFormat="1" x14ac:dyDescent="0.2">
      <c r="A411" s="186">
        <v>46124</v>
      </c>
      <c r="B411" s="187">
        <v>0.47638888888888886</v>
      </c>
      <c r="C411" s="192"/>
      <c r="D411" s="189" t="s">
        <v>14</v>
      </c>
      <c r="E411" s="189" t="s">
        <v>337</v>
      </c>
      <c r="F411" s="189" t="s">
        <v>788</v>
      </c>
      <c r="G411" s="189"/>
      <c r="H411" s="192">
        <f t="shared" si="13"/>
        <v>0</v>
      </c>
      <c r="I411" s="189"/>
      <c r="J411" s="189"/>
      <c r="K411" s="189"/>
    </row>
    <row r="412" spans="1:11" s="188" customFormat="1" x14ac:dyDescent="0.2">
      <c r="A412" s="186">
        <v>46124</v>
      </c>
      <c r="B412" s="187">
        <v>0.33333333333333331</v>
      </c>
      <c r="C412" s="192">
        <v>1</v>
      </c>
      <c r="D412" s="189" t="s">
        <v>14</v>
      </c>
      <c r="E412" s="189" t="s">
        <v>337</v>
      </c>
      <c r="F412" s="189" t="s">
        <v>788</v>
      </c>
      <c r="G412" s="189"/>
      <c r="H412" s="192">
        <f t="shared" si="13"/>
        <v>0</v>
      </c>
      <c r="I412" s="189"/>
      <c r="J412" s="189"/>
      <c r="K412" s="189"/>
    </row>
    <row r="413" spans="1:11" s="188" customFormat="1" x14ac:dyDescent="0.2">
      <c r="A413" s="186">
        <v>46124</v>
      </c>
      <c r="B413" s="187">
        <v>0.98958333333333337</v>
      </c>
      <c r="C413" s="192"/>
      <c r="D413" s="189" t="s">
        <v>314</v>
      </c>
      <c r="E413" s="189" t="s">
        <v>625</v>
      </c>
      <c r="F413" s="189" t="s">
        <v>216</v>
      </c>
      <c r="G413" s="189"/>
      <c r="H413" s="192">
        <f t="shared" si="13"/>
        <v>0</v>
      </c>
      <c r="I413" s="189"/>
      <c r="J413" s="189"/>
      <c r="K413" s="189"/>
    </row>
    <row r="414" spans="1:11" s="188" customFormat="1" x14ac:dyDescent="0.2">
      <c r="A414" s="186">
        <v>46124</v>
      </c>
      <c r="B414" s="187">
        <v>0.65625</v>
      </c>
      <c r="C414" s="192">
        <f t="shared" si="12"/>
        <v>1.0000000000000002</v>
      </c>
      <c r="D414" s="189" t="s">
        <v>314</v>
      </c>
      <c r="E414" s="189" t="s">
        <v>625</v>
      </c>
      <c r="F414" s="189" t="s">
        <v>216</v>
      </c>
      <c r="G414" s="189"/>
      <c r="H414" s="192">
        <f t="shared" si="13"/>
        <v>0</v>
      </c>
      <c r="I414" s="189"/>
      <c r="J414" s="189"/>
      <c r="K414" s="189"/>
    </row>
    <row r="415" spans="1:11" s="188" customFormat="1" x14ac:dyDescent="0.2">
      <c r="A415" s="186">
        <v>46124</v>
      </c>
      <c r="B415" s="187">
        <v>0.66666666666666663</v>
      </c>
      <c r="C415" s="192"/>
      <c r="D415" s="189" t="s">
        <v>62</v>
      </c>
      <c r="E415" s="189" t="s">
        <v>385</v>
      </c>
      <c r="F415" s="189" t="s">
        <v>42</v>
      </c>
      <c r="G415" s="189"/>
      <c r="H415" s="192">
        <f t="shared" si="13"/>
        <v>0</v>
      </c>
      <c r="I415" s="189"/>
      <c r="J415" s="189"/>
      <c r="K415" s="189"/>
    </row>
    <row r="416" spans="1:11" s="188" customFormat="1" x14ac:dyDescent="0.2">
      <c r="A416" s="186">
        <v>46124</v>
      </c>
      <c r="B416" s="187">
        <v>0.33333333333333331</v>
      </c>
      <c r="C416" s="192">
        <f t="shared" si="12"/>
        <v>1</v>
      </c>
      <c r="D416" s="189" t="s">
        <v>62</v>
      </c>
      <c r="E416" s="189" t="s">
        <v>385</v>
      </c>
      <c r="F416" s="189" t="s">
        <v>42</v>
      </c>
      <c r="G416" s="189"/>
      <c r="H416" s="192">
        <f t="shared" si="13"/>
        <v>0</v>
      </c>
      <c r="I416" s="189"/>
      <c r="J416" s="189"/>
      <c r="K416" s="189"/>
    </row>
    <row r="417" spans="1:11" s="188" customFormat="1" x14ac:dyDescent="0.2">
      <c r="A417" s="186">
        <v>46124</v>
      </c>
      <c r="B417" s="187">
        <v>0.66666666666666663</v>
      </c>
      <c r="C417" s="192"/>
      <c r="D417" s="189" t="s">
        <v>141</v>
      </c>
      <c r="E417" s="189" t="s">
        <v>462</v>
      </c>
      <c r="F417" s="189" t="s">
        <v>138</v>
      </c>
      <c r="G417" s="189"/>
      <c r="H417" s="192">
        <f t="shared" si="13"/>
        <v>0</v>
      </c>
      <c r="I417" s="189"/>
      <c r="J417" s="189"/>
      <c r="K417" s="189"/>
    </row>
    <row r="418" spans="1:11" s="188" customFormat="1" x14ac:dyDescent="0.2">
      <c r="A418" s="186">
        <v>46124</v>
      </c>
      <c r="B418" s="187">
        <v>0.33333333333333331</v>
      </c>
      <c r="C418" s="192">
        <f t="shared" si="12"/>
        <v>1</v>
      </c>
      <c r="D418" s="189" t="s">
        <v>141</v>
      </c>
      <c r="E418" s="189" t="s">
        <v>462</v>
      </c>
      <c r="F418" s="189" t="s">
        <v>138</v>
      </c>
      <c r="G418" s="189"/>
      <c r="H418" s="192">
        <f t="shared" si="13"/>
        <v>0</v>
      </c>
      <c r="I418" s="189"/>
      <c r="J418" s="189"/>
      <c r="K418" s="189"/>
    </row>
    <row r="419" spans="1:11" s="188" customFormat="1" x14ac:dyDescent="0.2">
      <c r="A419" s="186">
        <v>46124</v>
      </c>
      <c r="B419" s="187">
        <v>0.66666666666666663</v>
      </c>
      <c r="C419" s="192"/>
      <c r="D419" s="189" t="s">
        <v>206</v>
      </c>
      <c r="E419" s="189" t="s">
        <v>522</v>
      </c>
      <c r="F419" s="189" t="s">
        <v>199</v>
      </c>
      <c r="G419" s="189"/>
      <c r="H419" s="192">
        <f t="shared" si="13"/>
        <v>0</v>
      </c>
      <c r="I419" s="189"/>
      <c r="J419" s="189"/>
      <c r="K419" s="189"/>
    </row>
    <row r="420" spans="1:11" s="188" customFormat="1" x14ac:dyDescent="0.2">
      <c r="A420" s="186">
        <v>46124</v>
      </c>
      <c r="B420" s="187">
        <v>0.33333333333333331</v>
      </c>
      <c r="C420" s="192">
        <f t="shared" si="12"/>
        <v>1</v>
      </c>
      <c r="D420" s="189" t="s">
        <v>206</v>
      </c>
      <c r="E420" s="189" t="s">
        <v>522</v>
      </c>
      <c r="F420" s="189" t="s">
        <v>199</v>
      </c>
      <c r="G420" s="189"/>
      <c r="H420" s="192">
        <f t="shared" si="13"/>
        <v>0</v>
      </c>
      <c r="I420" s="189"/>
      <c r="J420" s="189"/>
      <c r="K420" s="189"/>
    </row>
    <row r="421" spans="1:11" s="188" customFormat="1" x14ac:dyDescent="0.2">
      <c r="A421" s="186">
        <v>46124</v>
      </c>
      <c r="B421" s="187">
        <v>0.66666666666666663</v>
      </c>
      <c r="C421" s="192"/>
      <c r="D421" s="189" t="s">
        <v>121</v>
      </c>
      <c r="E421" s="189" t="s">
        <v>445</v>
      </c>
      <c r="F421" s="189" t="s">
        <v>668</v>
      </c>
      <c r="G421" s="189"/>
      <c r="H421" s="192">
        <f t="shared" si="13"/>
        <v>0</v>
      </c>
      <c r="I421" s="189"/>
      <c r="J421" s="189"/>
      <c r="K421" s="189"/>
    </row>
    <row r="422" spans="1:11" s="188" customFormat="1" x14ac:dyDescent="0.2">
      <c r="A422" s="186">
        <v>46124</v>
      </c>
      <c r="B422" s="187">
        <v>0.33333333333333331</v>
      </c>
      <c r="C422" s="192">
        <f t="shared" si="12"/>
        <v>1</v>
      </c>
      <c r="D422" s="189" t="s">
        <v>121</v>
      </c>
      <c r="E422" s="189" t="s">
        <v>445</v>
      </c>
      <c r="F422" s="189" t="s">
        <v>668</v>
      </c>
      <c r="G422" s="189"/>
      <c r="H422" s="192">
        <f t="shared" si="13"/>
        <v>0</v>
      </c>
      <c r="I422" s="189"/>
      <c r="J422" s="189"/>
      <c r="K422" s="189"/>
    </row>
    <row r="423" spans="1:11" s="188" customFormat="1" x14ac:dyDescent="0.2">
      <c r="A423" s="186">
        <v>46124</v>
      </c>
      <c r="B423" s="187">
        <v>0.66666666666666663</v>
      </c>
      <c r="C423" s="192"/>
      <c r="D423" s="189" t="s">
        <v>691</v>
      </c>
      <c r="E423" s="189" t="s">
        <v>446</v>
      </c>
      <c r="F423" s="189" t="s">
        <v>668</v>
      </c>
      <c r="G423" s="189"/>
      <c r="H423" s="192">
        <f t="shared" si="13"/>
        <v>0</v>
      </c>
      <c r="I423" s="189"/>
      <c r="J423" s="189"/>
      <c r="K423" s="189"/>
    </row>
    <row r="424" spans="1:11" s="188" customFormat="1" x14ac:dyDescent="0.2">
      <c r="A424" s="186">
        <v>46124</v>
      </c>
      <c r="B424" s="187">
        <v>0.33333333333333331</v>
      </c>
      <c r="C424" s="192">
        <f t="shared" si="12"/>
        <v>1</v>
      </c>
      <c r="D424" s="189" t="s">
        <v>691</v>
      </c>
      <c r="E424" s="189" t="s">
        <v>446</v>
      </c>
      <c r="F424" s="189" t="s">
        <v>668</v>
      </c>
      <c r="G424" s="189"/>
      <c r="H424" s="192">
        <f t="shared" si="13"/>
        <v>0</v>
      </c>
      <c r="I424" s="189"/>
      <c r="J424" s="189"/>
      <c r="K424" s="189"/>
    </row>
    <row r="425" spans="1:11" s="188" customFormat="1" x14ac:dyDescent="0.2">
      <c r="A425" s="186">
        <v>46124</v>
      </c>
      <c r="B425" s="187">
        <v>0.66666666666666663</v>
      </c>
      <c r="C425" s="192"/>
      <c r="D425" s="189" t="s">
        <v>123</v>
      </c>
      <c r="E425" s="189" t="s">
        <v>447</v>
      </c>
      <c r="F425" s="189" t="s">
        <v>668</v>
      </c>
      <c r="G425" s="189"/>
      <c r="H425" s="192">
        <f t="shared" si="13"/>
        <v>0</v>
      </c>
      <c r="I425" s="189"/>
      <c r="J425" s="189"/>
      <c r="K425" s="189"/>
    </row>
    <row r="426" spans="1:11" s="188" customFormat="1" x14ac:dyDescent="0.2">
      <c r="A426" s="186">
        <v>46124</v>
      </c>
      <c r="B426" s="187">
        <v>0.33333333333333331</v>
      </c>
      <c r="C426" s="192">
        <f t="shared" si="12"/>
        <v>1</v>
      </c>
      <c r="D426" s="189" t="s">
        <v>123</v>
      </c>
      <c r="E426" s="189" t="s">
        <v>447</v>
      </c>
      <c r="F426" s="189" t="s">
        <v>668</v>
      </c>
      <c r="G426" s="189"/>
      <c r="H426" s="192">
        <f t="shared" si="13"/>
        <v>0</v>
      </c>
      <c r="I426" s="189"/>
      <c r="J426" s="189"/>
      <c r="K426" s="189"/>
    </row>
    <row r="427" spans="1:11" s="188" customFormat="1" x14ac:dyDescent="0.2">
      <c r="A427" s="186">
        <v>46124</v>
      </c>
      <c r="B427" s="187">
        <v>0.66666666666666663</v>
      </c>
      <c r="C427" s="192"/>
      <c r="D427" s="189" t="s">
        <v>289</v>
      </c>
      <c r="E427" s="189" t="s">
        <v>598</v>
      </c>
      <c r="F427" s="189" t="s">
        <v>668</v>
      </c>
      <c r="G427" s="189"/>
      <c r="H427" s="192">
        <f t="shared" si="13"/>
        <v>0</v>
      </c>
      <c r="I427" s="189"/>
      <c r="J427" s="189"/>
      <c r="K427" s="189"/>
    </row>
    <row r="428" spans="1:11" s="188" customFormat="1" x14ac:dyDescent="0.2">
      <c r="A428" s="186">
        <v>46124</v>
      </c>
      <c r="B428" s="187">
        <v>0.33333333333333331</v>
      </c>
      <c r="C428" s="192">
        <f t="shared" si="12"/>
        <v>1</v>
      </c>
      <c r="D428" s="189" t="s">
        <v>289</v>
      </c>
      <c r="E428" s="189" t="s">
        <v>598</v>
      </c>
      <c r="F428" s="189" t="s">
        <v>668</v>
      </c>
      <c r="G428" s="189"/>
      <c r="H428" s="192">
        <f t="shared" si="13"/>
        <v>0</v>
      </c>
      <c r="I428" s="189"/>
      <c r="J428" s="189"/>
      <c r="K428" s="189"/>
    </row>
    <row r="429" spans="1:11" s="188" customFormat="1" x14ac:dyDescent="0.2">
      <c r="A429" s="186">
        <v>46124</v>
      </c>
      <c r="B429" s="187">
        <v>0.98958333333333337</v>
      </c>
      <c r="C429" s="192"/>
      <c r="D429" s="189" t="s">
        <v>15</v>
      </c>
      <c r="E429" s="189" t="s">
        <v>338</v>
      </c>
      <c r="F429" s="189" t="s">
        <v>687</v>
      </c>
      <c r="G429" s="187">
        <v>0.65625</v>
      </c>
      <c r="H429" s="192">
        <f t="shared" si="13"/>
        <v>-15.75</v>
      </c>
      <c r="I429" s="189"/>
      <c r="J429" s="189"/>
      <c r="K429" s="189"/>
    </row>
    <row r="430" spans="1:11" s="188" customFormat="1" x14ac:dyDescent="0.2">
      <c r="A430" s="186">
        <v>46124</v>
      </c>
      <c r="B430" s="187">
        <v>0.65625</v>
      </c>
      <c r="C430" s="192">
        <f t="shared" si="12"/>
        <v>1.0000000000000002</v>
      </c>
      <c r="D430" s="189" t="s">
        <v>15</v>
      </c>
      <c r="E430" s="189" t="s">
        <v>338</v>
      </c>
      <c r="F430" s="189" t="s">
        <v>687</v>
      </c>
      <c r="G430" s="187">
        <v>0.60486111111111107</v>
      </c>
      <c r="H430" s="192">
        <f t="shared" si="13"/>
        <v>1.2333333333333343</v>
      </c>
      <c r="I430" s="189"/>
      <c r="J430" s="189"/>
      <c r="K430" s="189"/>
    </row>
    <row r="431" spans="1:11" s="188" customFormat="1" x14ac:dyDescent="0.2">
      <c r="A431" s="186">
        <v>46124</v>
      </c>
      <c r="B431" s="187">
        <v>0.66666666666666663</v>
      </c>
      <c r="C431" s="192"/>
      <c r="D431" s="189" t="s">
        <v>124</v>
      </c>
      <c r="E431" s="189" t="s">
        <v>448</v>
      </c>
      <c r="F431" s="189" t="s">
        <v>789</v>
      </c>
      <c r="G431" s="189"/>
      <c r="H431" s="192">
        <f t="shared" si="13"/>
        <v>14.516666666666666</v>
      </c>
      <c r="I431" s="189"/>
      <c r="J431" s="189"/>
      <c r="K431" s="189"/>
    </row>
    <row r="432" spans="1:11" s="188" customFormat="1" x14ac:dyDescent="0.2">
      <c r="A432" s="186">
        <v>46124</v>
      </c>
      <c r="B432" s="187">
        <v>0.33333333333333331</v>
      </c>
      <c r="C432" s="192">
        <f t="shared" si="12"/>
        <v>1</v>
      </c>
      <c r="D432" s="189" t="s">
        <v>124</v>
      </c>
      <c r="E432" s="189" t="s">
        <v>448</v>
      </c>
      <c r="F432" s="189" t="s">
        <v>789</v>
      </c>
      <c r="G432" s="189"/>
      <c r="H432" s="192">
        <f t="shared" si="13"/>
        <v>0</v>
      </c>
      <c r="I432" s="189"/>
      <c r="J432" s="189"/>
      <c r="K432" s="189"/>
    </row>
    <row r="433" spans="1:11" s="188" customFormat="1" x14ac:dyDescent="0.2">
      <c r="A433" s="186">
        <v>46124</v>
      </c>
      <c r="B433" s="187">
        <v>0.66666666666666663</v>
      </c>
      <c r="C433" s="192"/>
      <c r="D433" s="189" t="s">
        <v>95</v>
      </c>
      <c r="E433" s="189" t="s">
        <v>420</v>
      </c>
      <c r="F433" s="189" t="s">
        <v>674</v>
      </c>
      <c r="G433" s="189"/>
      <c r="H433" s="192">
        <f t="shared" si="13"/>
        <v>0</v>
      </c>
      <c r="I433" s="189"/>
      <c r="J433" s="189"/>
      <c r="K433" s="189"/>
    </row>
    <row r="434" spans="1:11" s="188" customFormat="1" x14ac:dyDescent="0.2">
      <c r="A434" s="186">
        <v>46124</v>
      </c>
      <c r="B434" s="187">
        <v>0.33333333333333331</v>
      </c>
      <c r="C434" s="192">
        <f t="shared" si="12"/>
        <v>1</v>
      </c>
      <c r="D434" s="189" t="s">
        <v>95</v>
      </c>
      <c r="E434" s="189" t="s">
        <v>420</v>
      </c>
      <c r="F434" s="189" t="s">
        <v>674</v>
      </c>
      <c r="G434" s="189"/>
      <c r="H434" s="192">
        <f t="shared" si="13"/>
        <v>0</v>
      </c>
      <c r="I434" s="189"/>
      <c r="J434" s="189"/>
      <c r="K434" s="189"/>
    </row>
    <row r="435" spans="1:11" s="188" customFormat="1" x14ac:dyDescent="0.2">
      <c r="A435" s="186">
        <v>46124</v>
      </c>
      <c r="B435" s="187">
        <v>0.98958333333333337</v>
      </c>
      <c r="C435" s="192"/>
      <c r="D435" s="189" t="s">
        <v>310</v>
      </c>
      <c r="E435" s="189" t="s">
        <v>621</v>
      </c>
      <c r="F435" s="189" t="s">
        <v>208</v>
      </c>
      <c r="G435" s="189"/>
      <c r="H435" s="192">
        <f t="shared" si="13"/>
        <v>0</v>
      </c>
      <c r="I435" s="189"/>
      <c r="J435" s="189"/>
      <c r="K435" s="189"/>
    </row>
    <row r="436" spans="1:11" s="188" customFormat="1" x14ac:dyDescent="0.2">
      <c r="A436" s="186">
        <v>46124</v>
      </c>
      <c r="B436" s="187">
        <v>0.65625</v>
      </c>
      <c r="C436" s="192">
        <f t="shared" si="12"/>
        <v>1.0000000000000002</v>
      </c>
      <c r="D436" s="189" t="s">
        <v>310</v>
      </c>
      <c r="E436" s="189" t="s">
        <v>621</v>
      </c>
      <c r="F436" s="189" t="s">
        <v>208</v>
      </c>
      <c r="G436" s="189"/>
      <c r="H436" s="192">
        <f t="shared" si="13"/>
        <v>0</v>
      </c>
      <c r="I436" s="189"/>
      <c r="J436" s="189"/>
      <c r="K436" s="189"/>
    </row>
    <row r="437" spans="1:11" s="188" customFormat="1" x14ac:dyDescent="0.2">
      <c r="A437" s="186">
        <v>46124</v>
      </c>
      <c r="B437" s="187">
        <v>0.66666666666666663</v>
      </c>
      <c r="C437" s="192"/>
      <c r="D437" s="189" t="s">
        <v>63</v>
      </c>
      <c r="E437" s="189" t="s">
        <v>386</v>
      </c>
      <c r="F437" s="189" t="s">
        <v>42</v>
      </c>
      <c r="G437" s="189"/>
      <c r="H437" s="192">
        <f t="shared" si="13"/>
        <v>0</v>
      </c>
      <c r="I437" s="189"/>
      <c r="J437" s="189"/>
      <c r="K437" s="189"/>
    </row>
    <row r="438" spans="1:11" s="188" customFormat="1" x14ac:dyDescent="0.2">
      <c r="A438" s="186">
        <v>46124</v>
      </c>
      <c r="B438" s="187">
        <v>0.33333333333333331</v>
      </c>
      <c r="C438" s="192">
        <f t="shared" si="12"/>
        <v>1</v>
      </c>
      <c r="D438" s="189" t="s">
        <v>63</v>
      </c>
      <c r="E438" s="189" t="s">
        <v>386</v>
      </c>
      <c r="F438" s="189" t="s">
        <v>42</v>
      </c>
      <c r="G438" s="189"/>
      <c r="H438" s="192">
        <f t="shared" si="13"/>
        <v>0</v>
      </c>
      <c r="I438" s="189"/>
      <c r="J438" s="189"/>
      <c r="K438" s="189"/>
    </row>
    <row r="439" spans="1:11" s="188" customFormat="1" x14ac:dyDescent="0.2">
      <c r="A439" s="186">
        <v>46124</v>
      </c>
      <c r="B439" s="187">
        <v>0.66666666666666663</v>
      </c>
      <c r="C439" s="192"/>
      <c r="D439" s="189" t="s">
        <v>137</v>
      </c>
      <c r="E439" s="189" t="s">
        <v>459</v>
      </c>
      <c r="F439" s="189" t="s">
        <v>790</v>
      </c>
      <c r="G439" s="189"/>
      <c r="H439" s="192">
        <f t="shared" si="13"/>
        <v>0</v>
      </c>
      <c r="I439" s="189"/>
      <c r="J439" s="189"/>
      <c r="K439" s="189"/>
    </row>
    <row r="440" spans="1:11" s="188" customFormat="1" x14ac:dyDescent="0.2">
      <c r="A440" s="186">
        <v>46124</v>
      </c>
      <c r="B440" s="187">
        <v>0.33333333333333331</v>
      </c>
      <c r="C440" s="192">
        <f t="shared" si="12"/>
        <v>1</v>
      </c>
      <c r="D440" s="189" t="s">
        <v>137</v>
      </c>
      <c r="E440" s="189" t="s">
        <v>459</v>
      </c>
      <c r="F440" s="189" t="s">
        <v>790</v>
      </c>
      <c r="G440" s="189"/>
      <c r="H440" s="192">
        <f t="shared" si="13"/>
        <v>0</v>
      </c>
      <c r="I440" s="189"/>
      <c r="J440" s="189"/>
      <c r="K440" s="189"/>
    </row>
    <row r="441" spans="1:11" s="188" customFormat="1" x14ac:dyDescent="0.2">
      <c r="A441" s="186">
        <v>46124</v>
      </c>
      <c r="B441" s="187">
        <v>0.98958333333333337</v>
      </c>
      <c r="C441" s="192"/>
      <c r="D441" s="189" t="s">
        <v>324</v>
      </c>
      <c r="E441" s="189" t="s">
        <v>635</v>
      </c>
      <c r="F441" s="189"/>
      <c r="G441" s="189"/>
      <c r="H441" s="192">
        <f t="shared" si="13"/>
        <v>0</v>
      </c>
      <c r="I441" s="189"/>
      <c r="J441" s="189"/>
      <c r="K441" s="189"/>
    </row>
    <row r="442" spans="1:11" s="188" customFormat="1" x14ac:dyDescent="0.2">
      <c r="A442" s="186">
        <v>46124</v>
      </c>
      <c r="B442" s="187">
        <v>0.65625</v>
      </c>
      <c r="C442" s="192">
        <f t="shared" si="12"/>
        <v>1.0000000000000002</v>
      </c>
      <c r="D442" s="189" t="s">
        <v>324</v>
      </c>
      <c r="E442" s="189" t="s">
        <v>635</v>
      </c>
      <c r="F442" s="189"/>
      <c r="G442" s="189"/>
      <c r="H442" s="192">
        <f t="shared" si="13"/>
        <v>0</v>
      </c>
      <c r="I442" s="189"/>
      <c r="J442" s="189"/>
      <c r="K442" s="189"/>
    </row>
    <row r="443" spans="1:11" s="188" customFormat="1" x14ac:dyDescent="0.2">
      <c r="A443" s="186">
        <v>46124</v>
      </c>
      <c r="B443" s="187">
        <v>0.66666666666666663</v>
      </c>
      <c r="C443" s="192"/>
      <c r="D443" s="189" t="s">
        <v>96</v>
      </c>
      <c r="E443" s="189" t="s">
        <v>421</v>
      </c>
      <c r="F443" s="189" t="s">
        <v>68</v>
      </c>
      <c r="G443" s="189"/>
      <c r="H443" s="192">
        <f t="shared" si="13"/>
        <v>0</v>
      </c>
      <c r="I443" s="189"/>
      <c r="J443" s="189"/>
      <c r="K443" s="189"/>
    </row>
    <row r="444" spans="1:11" s="188" customFormat="1" x14ac:dyDescent="0.2">
      <c r="A444" s="186">
        <v>46124</v>
      </c>
      <c r="B444" s="187">
        <v>0.33333333333333331</v>
      </c>
      <c r="C444" s="192">
        <f t="shared" si="12"/>
        <v>1</v>
      </c>
      <c r="D444" s="189" t="s">
        <v>96</v>
      </c>
      <c r="E444" s="189" t="s">
        <v>421</v>
      </c>
      <c r="F444" s="189" t="s">
        <v>68</v>
      </c>
      <c r="G444" s="189"/>
      <c r="H444" s="192">
        <f t="shared" si="13"/>
        <v>0</v>
      </c>
      <c r="I444" s="189"/>
      <c r="J444" s="189"/>
      <c r="K444" s="189"/>
    </row>
    <row r="445" spans="1:11" s="188" customFormat="1" x14ac:dyDescent="0.2">
      <c r="A445" s="186">
        <v>46124</v>
      </c>
      <c r="B445" s="187">
        <v>0.98958333333333337</v>
      </c>
      <c r="C445" s="192"/>
      <c r="D445" s="189" t="s">
        <v>298</v>
      </c>
      <c r="E445" s="189" t="s">
        <v>608</v>
      </c>
      <c r="F445" s="189" t="s">
        <v>261</v>
      </c>
      <c r="G445" s="189"/>
      <c r="H445" s="192">
        <f t="shared" si="13"/>
        <v>0</v>
      </c>
      <c r="I445" s="189"/>
      <c r="J445" s="189"/>
      <c r="K445" s="189"/>
    </row>
    <row r="446" spans="1:11" s="188" customFormat="1" x14ac:dyDescent="0.2">
      <c r="A446" s="186">
        <v>46124</v>
      </c>
      <c r="B446" s="187">
        <v>0.65625</v>
      </c>
      <c r="C446" s="192">
        <f t="shared" si="12"/>
        <v>1.0000000000000002</v>
      </c>
      <c r="D446" s="189" t="s">
        <v>298</v>
      </c>
      <c r="E446" s="189" t="s">
        <v>608</v>
      </c>
      <c r="F446" s="189" t="s">
        <v>261</v>
      </c>
      <c r="G446" s="189"/>
      <c r="H446" s="192">
        <f t="shared" si="13"/>
        <v>0</v>
      </c>
      <c r="I446" s="189"/>
      <c r="J446" s="189"/>
      <c r="K446" s="189"/>
    </row>
    <row r="447" spans="1:11" s="188" customFormat="1" x14ac:dyDescent="0.2">
      <c r="A447" s="186">
        <v>46124</v>
      </c>
      <c r="B447" s="187">
        <v>0.66666666666666663</v>
      </c>
      <c r="C447" s="192"/>
      <c r="D447" s="189" t="s">
        <v>222</v>
      </c>
      <c r="E447" s="189" t="s">
        <v>537</v>
      </c>
      <c r="F447" s="189" t="s">
        <v>216</v>
      </c>
      <c r="G447" s="189"/>
      <c r="H447" s="192">
        <f t="shared" si="13"/>
        <v>0</v>
      </c>
      <c r="I447" s="189"/>
      <c r="J447" s="189"/>
      <c r="K447" s="189"/>
    </row>
    <row r="448" spans="1:11" s="188" customFormat="1" x14ac:dyDescent="0.2">
      <c r="A448" s="186">
        <v>46124</v>
      </c>
      <c r="B448" s="187">
        <v>0.33333333333333331</v>
      </c>
      <c r="C448" s="192">
        <f t="shared" si="12"/>
        <v>1</v>
      </c>
      <c r="D448" s="189" t="s">
        <v>222</v>
      </c>
      <c r="E448" s="189" t="s">
        <v>537</v>
      </c>
      <c r="F448" s="189" t="s">
        <v>216</v>
      </c>
      <c r="G448" s="189"/>
      <c r="H448" s="192">
        <f t="shared" si="13"/>
        <v>0</v>
      </c>
      <c r="I448" s="189"/>
      <c r="J448" s="189"/>
      <c r="K448" s="189"/>
    </row>
    <row r="449" spans="1:11" s="188" customFormat="1" x14ac:dyDescent="0.2">
      <c r="A449" s="186">
        <v>46124</v>
      </c>
      <c r="B449" s="187">
        <v>0.66666666666666663</v>
      </c>
      <c r="C449" s="192"/>
      <c r="D449" s="189" t="s">
        <v>97</v>
      </c>
      <c r="E449" s="189" t="s">
        <v>422</v>
      </c>
      <c r="F449" s="189" t="s">
        <v>674</v>
      </c>
      <c r="G449" s="189"/>
      <c r="H449" s="192">
        <f t="shared" si="13"/>
        <v>0</v>
      </c>
      <c r="I449" s="189"/>
      <c r="J449" s="189"/>
      <c r="K449" s="189"/>
    </row>
    <row r="450" spans="1:11" s="188" customFormat="1" x14ac:dyDescent="0.2">
      <c r="A450" s="186">
        <v>46124</v>
      </c>
      <c r="B450" s="187">
        <v>0.33333333333333331</v>
      </c>
      <c r="C450" s="192">
        <f t="shared" si="12"/>
        <v>1</v>
      </c>
      <c r="D450" s="189" t="s">
        <v>97</v>
      </c>
      <c r="E450" s="189" t="s">
        <v>422</v>
      </c>
      <c r="F450" s="189" t="s">
        <v>674</v>
      </c>
      <c r="G450" s="189"/>
      <c r="H450" s="192">
        <f t="shared" si="13"/>
        <v>0</v>
      </c>
      <c r="I450" s="189"/>
      <c r="J450" s="189"/>
      <c r="K450" s="189"/>
    </row>
    <row r="451" spans="1:11" s="188" customFormat="1" x14ac:dyDescent="0.2">
      <c r="A451" s="186">
        <v>46124</v>
      </c>
      <c r="B451" s="187">
        <v>0.66666666666666663</v>
      </c>
      <c r="C451" s="192"/>
      <c r="D451" s="189" t="s">
        <v>98</v>
      </c>
      <c r="E451" s="189" t="s">
        <v>423</v>
      </c>
      <c r="F451" s="189" t="s">
        <v>674</v>
      </c>
      <c r="G451" s="189"/>
      <c r="H451" s="192">
        <f t="shared" si="13"/>
        <v>0</v>
      </c>
      <c r="I451" s="189"/>
      <c r="J451" s="189"/>
      <c r="K451" s="189"/>
    </row>
    <row r="452" spans="1:11" s="188" customFormat="1" x14ac:dyDescent="0.2">
      <c r="A452" s="186">
        <v>46124</v>
      </c>
      <c r="B452" s="187">
        <v>0.33333333333333331</v>
      </c>
      <c r="C452" s="192">
        <f t="shared" ref="C452:C486" si="14">(B451-B452)/TIME(8,0,0)</f>
        <v>1</v>
      </c>
      <c r="D452" s="189" t="s">
        <v>98</v>
      </c>
      <c r="E452" s="189" t="s">
        <v>423</v>
      </c>
      <c r="F452" s="189" t="s">
        <v>674</v>
      </c>
      <c r="G452" s="189"/>
      <c r="H452" s="192">
        <f t="shared" si="13"/>
        <v>0</v>
      </c>
      <c r="I452" s="189"/>
      <c r="J452" s="189"/>
      <c r="K452" s="189"/>
    </row>
    <row r="453" spans="1:11" s="188" customFormat="1" x14ac:dyDescent="0.2">
      <c r="A453" s="186">
        <v>46124</v>
      </c>
      <c r="B453" s="187">
        <v>0.66666666666666663</v>
      </c>
      <c r="C453" s="192"/>
      <c r="D453" s="189" t="s">
        <v>65</v>
      </c>
      <c r="E453" s="189" t="s">
        <v>388</v>
      </c>
      <c r="F453" s="189" t="s">
        <v>42</v>
      </c>
      <c r="G453" s="189"/>
      <c r="H453" s="192">
        <f t="shared" si="13"/>
        <v>0</v>
      </c>
      <c r="I453" s="189"/>
      <c r="J453" s="189"/>
      <c r="K453" s="189"/>
    </row>
    <row r="454" spans="1:11" s="188" customFormat="1" x14ac:dyDescent="0.2">
      <c r="A454" s="186">
        <v>46124</v>
      </c>
      <c r="B454" s="187">
        <v>0.33333333333333331</v>
      </c>
      <c r="C454" s="192">
        <f t="shared" si="14"/>
        <v>1</v>
      </c>
      <c r="D454" s="189" t="s">
        <v>65</v>
      </c>
      <c r="E454" s="189" t="s">
        <v>388</v>
      </c>
      <c r="F454" s="189" t="s">
        <v>42</v>
      </c>
      <c r="G454" s="189"/>
      <c r="H454" s="192">
        <f t="shared" si="13"/>
        <v>0</v>
      </c>
      <c r="I454" s="189"/>
      <c r="J454" s="189"/>
      <c r="K454" s="189"/>
    </row>
    <row r="455" spans="1:11" s="188" customFormat="1" x14ac:dyDescent="0.2">
      <c r="A455" s="186">
        <v>46124</v>
      </c>
      <c r="B455" s="187">
        <v>0.66666666666666663</v>
      </c>
      <c r="C455" s="192"/>
      <c r="D455" s="189" t="s">
        <v>125</v>
      </c>
      <c r="E455" s="189" t="s">
        <v>449</v>
      </c>
      <c r="F455" s="189" t="s">
        <v>780</v>
      </c>
      <c r="G455" s="189"/>
      <c r="H455" s="192">
        <f t="shared" si="13"/>
        <v>0</v>
      </c>
      <c r="I455" s="189"/>
      <c r="J455" s="189"/>
      <c r="K455" s="189"/>
    </row>
    <row r="456" spans="1:11" s="188" customFormat="1" x14ac:dyDescent="0.2">
      <c r="A456" s="186">
        <v>46124</v>
      </c>
      <c r="B456" s="187">
        <v>0.33333333333333331</v>
      </c>
      <c r="C456" s="192">
        <f t="shared" si="14"/>
        <v>1</v>
      </c>
      <c r="D456" s="189" t="s">
        <v>125</v>
      </c>
      <c r="E456" s="189" t="s">
        <v>449</v>
      </c>
      <c r="F456" s="189" t="s">
        <v>780</v>
      </c>
      <c r="G456" s="189"/>
      <c r="H456" s="192">
        <f t="shared" si="13"/>
        <v>0</v>
      </c>
      <c r="I456" s="189"/>
      <c r="J456" s="189"/>
      <c r="K456" s="189"/>
    </row>
    <row r="457" spans="1:11" s="188" customFormat="1" x14ac:dyDescent="0.2">
      <c r="A457" s="186">
        <v>46124</v>
      </c>
      <c r="B457" s="187">
        <v>0.66666666666666663</v>
      </c>
      <c r="C457" s="192"/>
      <c r="D457" s="189" t="s">
        <v>223</v>
      </c>
      <c r="E457" s="189" t="s">
        <v>538</v>
      </c>
      <c r="F457" s="189" t="s">
        <v>232</v>
      </c>
      <c r="G457" s="189"/>
      <c r="H457" s="192">
        <f t="shared" si="13"/>
        <v>0</v>
      </c>
      <c r="I457" s="189"/>
      <c r="J457" s="189"/>
      <c r="K457" s="189"/>
    </row>
    <row r="458" spans="1:11" s="188" customFormat="1" x14ac:dyDescent="0.2">
      <c r="A458" s="186">
        <v>46124</v>
      </c>
      <c r="B458" s="187">
        <v>0.33333333333333331</v>
      </c>
      <c r="C458" s="192">
        <f t="shared" si="14"/>
        <v>1</v>
      </c>
      <c r="D458" s="189" t="s">
        <v>223</v>
      </c>
      <c r="E458" s="189" t="s">
        <v>538</v>
      </c>
      <c r="F458" s="189" t="s">
        <v>232</v>
      </c>
      <c r="G458" s="189"/>
      <c r="H458" s="192">
        <f t="shared" si="13"/>
        <v>0</v>
      </c>
      <c r="I458" s="189"/>
      <c r="J458" s="189"/>
      <c r="K458" s="189"/>
    </row>
    <row r="459" spans="1:11" s="188" customFormat="1" x14ac:dyDescent="0.2">
      <c r="A459" s="186">
        <v>46124</v>
      </c>
      <c r="B459" s="187">
        <v>0.66666666666666663</v>
      </c>
      <c r="C459" s="192"/>
      <c r="D459" s="189" t="s">
        <v>207</v>
      </c>
      <c r="E459" s="189" t="s">
        <v>523</v>
      </c>
      <c r="F459" s="189" t="s">
        <v>199</v>
      </c>
      <c r="G459" s="189"/>
      <c r="H459" s="192">
        <f t="shared" si="13"/>
        <v>0</v>
      </c>
      <c r="I459" s="189"/>
      <c r="J459" s="189"/>
      <c r="K459" s="189"/>
    </row>
    <row r="460" spans="1:11" s="188" customFormat="1" x14ac:dyDescent="0.2">
      <c r="A460" s="186">
        <v>46124</v>
      </c>
      <c r="B460" s="187">
        <v>0.33333333333333331</v>
      </c>
      <c r="C460" s="192">
        <f t="shared" si="14"/>
        <v>1</v>
      </c>
      <c r="D460" s="189" t="s">
        <v>207</v>
      </c>
      <c r="E460" s="189" t="s">
        <v>523</v>
      </c>
      <c r="F460" s="189" t="s">
        <v>199</v>
      </c>
      <c r="G460" s="189"/>
      <c r="H460" s="192">
        <f t="shared" si="13"/>
        <v>0</v>
      </c>
      <c r="I460" s="189"/>
      <c r="J460" s="189"/>
      <c r="K460" s="189"/>
    </row>
    <row r="461" spans="1:11" s="188" customFormat="1" x14ac:dyDescent="0.2">
      <c r="A461" s="186">
        <v>46124</v>
      </c>
      <c r="B461" s="187">
        <v>0.66666666666666663</v>
      </c>
      <c r="C461" s="192"/>
      <c r="D461" s="189" t="s">
        <v>215</v>
      </c>
      <c r="E461" s="189" t="s">
        <v>531</v>
      </c>
      <c r="F461" s="189" t="s">
        <v>232</v>
      </c>
      <c r="G461" s="189"/>
      <c r="H461" s="192">
        <f t="shared" si="13"/>
        <v>0</v>
      </c>
      <c r="I461" s="189"/>
      <c r="J461" s="189"/>
      <c r="K461" s="189"/>
    </row>
    <row r="462" spans="1:11" s="188" customFormat="1" x14ac:dyDescent="0.2">
      <c r="A462" s="186">
        <v>46124</v>
      </c>
      <c r="B462" s="187">
        <v>0.33333333333333331</v>
      </c>
      <c r="C462" s="192">
        <f t="shared" si="14"/>
        <v>1</v>
      </c>
      <c r="D462" s="189" t="s">
        <v>215</v>
      </c>
      <c r="E462" s="189" t="s">
        <v>531</v>
      </c>
      <c r="F462" s="189" t="s">
        <v>232</v>
      </c>
      <c r="G462" s="189"/>
      <c r="H462" s="192">
        <f t="shared" ref="H462:H500" si="15">(G461-G462)/TIME(1,0,0)</f>
        <v>0</v>
      </c>
      <c r="I462" s="189"/>
      <c r="J462" s="189"/>
      <c r="K462" s="189"/>
    </row>
    <row r="463" spans="1:11" s="188" customFormat="1" x14ac:dyDescent="0.2">
      <c r="A463" s="186">
        <v>46124</v>
      </c>
      <c r="B463" s="187">
        <v>0.66666666666666663</v>
      </c>
      <c r="C463" s="192"/>
      <c r="D463" s="189" t="s">
        <v>734</v>
      </c>
      <c r="E463" s="189" t="s">
        <v>424</v>
      </c>
      <c r="F463" s="189" t="s">
        <v>674</v>
      </c>
      <c r="G463" s="189"/>
      <c r="H463" s="192">
        <f t="shared" si="15"/>
        <v>0</v>
      </c>
      <c r="I463" s="189"/>
      <c r="J463" s="189"/>
      <c r="K463" s="189"/>
    </row>
    <row r="464" spans="1:11" s="188" customFormat="1" x14ac:dyDescent="0.2">
      <c r="A464" s="186">
        <v>46124</v>
      </c>
      <c r="B464" s="187">
        <v>0.33333333333333331</v>
      </c>
      <c r="C464" s="192">
        <f t="shared" si="14"/>
        <v>1</v>
      </c>
      <c r="D464" s="189" t="s">
        <v>734</v>
      </c>
      <c r="E464" s="189" t="s">
        <v>424</v>
      </c>
      <c r="F464" s="189" t="s">
        <v>674</v>
      </c>
      <c r="G464" s="189"/>
      <c r="H464" s="192">
        <f t="shared" si="15"/>
        <v>0</v>
      </c>
      <c r="I464" s="189"/>
      <c r="J464" s="189"/>
      <c r="K464" s="189"/>
    </row>
    <row r="465" spans="1:11" s="188" customFormat="1" x14ac:dyDescent="0.2">
      <c r="A465" s="186">
        <v>46124</v>
      </c>
      <c r="B465" s="187">
        <v>0.66666666666666663</v>
      </c>
      <c r="C465" s="192"/>
      <c r="D465" s="189" t="s">
        <v>133</v>
      </c>
      <c r="E465" s="189" t="s">
        <v>454</v>
      </c>
      <c r="F465" s="189" t="s">
        <v>131</v>
      </c>
      <c r="G465" s="189"/>
      <c r="H465" s="192">
        <f t="shared" si="15"/>
        <v>0</v>
      </c>
      <c r="I465" s="189"/>
      <c r="J465" s="189"/>
      <c r="K465" s="189"/>
    </row>
    <row r="466" spans="1:11" s="188" customFormat="1" x14ac:dyDescent="0.2">
      <c r="A466" s="186">
        <v>46124</v>
      </c>
      <c r="B466" s="187">
        <v>0.33333333333333331</v>
      </c>
      <c r="C466" s="192">
        <f t="shared" si="14"/>
        <v>1</v>
      </c>
      <c r="D466" s="189" t="s">
        <v>133</v>
      </c>
      <c r="E466" s="189" t="s">
        <v>454</v>
      </c>
      <c r="F466" s="189" t="s">
        <v>131</v>
      </c>
      <c r="G466" s="189"/>
      <c r="H466" s="192">
        <f t="shared" si="15"/>
        <v>0</v>
      </c>
      <c r="I466" s="189"/>
      <c r="J466" s="189"/>
      <c r="K466" s="189"/>
    </row>
    <row r="467" spans="1:11" s="188" customFormat="1" x14ac:dyDescent="0.2">
      <c r="A467" s="186">
        <v>46124</v>
      </c>
      <c r="B467" s="187">
        <v>0.66666666666666663</v>
      </c>
      <c r="C467" s="192"/>
      <c r="D467" s="189" t="s">
        <v>134</v>
      </c>
      <c r="E467" s="189" t="s">
        <v>455</v>
      </c>
      <c r="F467" s="189" t="s">
        <v>131</v>
      </c>
      <c r="G467" s="189"/>
      <c r="H467" s="192">
        <f t="shared" si="15"/>
        <v>0</v>
      </c>
      <c r="I467" s="189"/>
      <c r="J467" s="189"/>
      <c r="K467" s="189"/>
    </row>
    <row r="468" spans="1:11" s="188" customFormat="1" x14ac:dyDescent="0.2">
      <c r="A468" s="186">
        <v>46124</v>
      </c>
      <c r="B468" s="187">
        <v>0.33333333333333331</v>
      </c>
      <c r="C468" s="192">
        <f t="shared" si="14"/>
        <v>1</v>
      </c>
      <c r="D468" s="189" t="s">
        <v>134</v>
      </c>
      <c r="E468" s="189" t="s">
        <v>455</v>
      </c>
      <c r="F468" s="189" t="s">
        <v>131</v>
      </c>
      <c r="G468" s="189"/>
      <c r="H468" s="192">
        <f t="shared" si="15"/>
        <v>0</v>
      </c>
      <c r="I468" s="189"/>
      <c r="J468" s="189"/>
      <c r="K468" s="189"/>
    </row>
    <row r="469" spans="1:11" s="188" customFormat="1" x14ac:dyDescent="0.2">
      <c r="A469" s="186">
        <v>46124</v>
      </c>
      <c r="B469" s="187">
        <v>0.66666666666666663</v>
      </c>
      <c r="C469" s="192"/>
      <c r="D469" s="189" t="s">
        <v>1102</v>
      </c>
      <c r="E469" s="189" t="s">
        <v>839</v>
      </c>
      <c r="F469" s="189" t="s">
        <v>169</v>
      </c>
      <c r="G469" s="189"/>
      <c r="H469" s="192">
        <f t="shared" si="15"/>
        <v>0</v>
      </c>
      <c r="I469" s="189"/>
      <c r="J469" s="189"/>
      <c r="K469" s="189"/>
    </row>
    <row r="470" spans="1:11" s="188" customFormat="1" x14ac:dyDescent="0.2">
      <c r="A470" s="186">
        <v>46124</v>
      </c>
      <c r="B470" s="187">
        <v>0.33333333333333331</v>
      </c>
      <c r="C470" s="192">
        <f t="shared" si="14"/>
        <v>1</v>
      </c>
      <c r="D470" s="189" t="s">
        <v>1102</v>
      </c>
      <c r="E470" s="189" t="s">
        <v>839</v>
      </c>
      <c r="F470" s="189" t="s">
        <v>169</v>
      </c>
      <c r="G470" s="189"/>
      <c r="H470" s="192">
        <f t="shared" si="15"/>
        <v>0</v>
      </c>
      <c r="I470" s="189"/>
      <c r="J470" s="189"/>
      <c r="K470" s="189"/>
    </row>
    <row r="471" spans="1:11" s="188" customFormat="1" x14ac:dyDescent="0.2">
      <c r="A471" s="186">
        <v>46124</v>
      </c>
      <c r="B471" s="187">
        <v>0.66666666666666663</v>
      </c>
      <c r="C471" s="192"/>
      <c r="D471" s="189" t="s">
        <v>100</v>
      </c>
      <c r="E471" s="189" t="s">
        <v>425</v>
      </c>
      <c r="F471" s="189" t="s">
        <v>674</v>
      </c>
      <c r="G471" s="189"/>
      <c r="H471" s="192">
        <f t="shared" si="15"/>
        <v>0</v>
      </c>
      <c r="I471" s="189"/>
      <c r="J471" s="189"/>
      <c r="K471" s="189"/>
    </row>
    <row r="472" spans="1:11" s="188" customFormat="1" x14ac:dyDescent="0.2">
      <c r="A472" s="186">
        <v>46124</v>
      </c>
      <c r="B472" s="187">
        <v>0.33333333333333331</v>
      </c>
      <c r="C472" s="192">
        <f t="shared" si="14"/>
        <v>1</v>
      </c>
      <c r="D472" s="189" t="s">
        <v>100</v>
      </c>
      <c r="E472" s="189" t="s">
        <v>425</v>
      </c>
      <c r="F472" s="189" t="s">
        <v>674</v>
      </c>
      <c r="G472" s="189"/>
      <c r="H472" s="192">
        <f t="shared" si="15"/>
        <v>0</v>
      </c>
      <c r="I472" s="189"/>
      <c r="J472" s="189"/>
      <c r="K472" s="189"/>
    </row>
    <row r="473" spans="1:11" s="188" customFormat="1" x14ac:dyDescent="0.2">
      <c r="A473" s="186">
        <v>46124</v>
      </c>
      <c r="B473" s="187">
        <v>0.66666666666666663</v>
      </c>
      <c r="C473" s="192"/>
      <c r="D473" s="189" t="s">
        <v>135</v>
      </c>
      <c r="E473" s="189" t="s">
        <v>456</v>
      </c>
      <c r="F473" s="189" t="s">
        <v>131</v>
      </c>
      <c r="G473" s="187">
        <v>0.98958333333333337</v>
      </c>
      <c r="H473" s="192">
        <f t="shared" si="15"/>
        <v>-23.750000000000004</v>
      </c>
      <c r="I473" s="189"/>
      <c r="J473" s="189"/>
      <c r="K473" s="189"/>
    </row>
    <row r="474" spans="1:11" s="188" customFormat="1" x14ac:dyDescent="0.2">
      <c r="A474" s="186">
        <v>46124</v>
      </c>
      <c r="B474" s="187">
        <v>0.33333333333333331</v>
      </c>
      <c r="C474" s="192">
        <f t="shared" si="14"/>
        <v>1</v>
      </c>
      <c r="D474" s="189" t="s">
        <v>135</v>
      </c>
      <c r="E474" s="189" t="s">
        <v>456</v>
      </c>
      <c r="F474" s="189" t="s">
        <v>131</v>
      </c>
      <c r="G474" s="187">
        <v>0.66666666666666663</v>
      </c>
      <c r="H474" s="192">
        <f t="shared" si="15"/>
        <v>7.7500000000000018</v>
      </c>
      <c r="I474" s="189"/>
      <c r="J474" s="189"/>
      <c r="K474" s="189"/>
    </row>
    <row r="475" spans="1:11" s="188" customFormat="1" x14ac:dyDescent="0.2">
      <c r="A475" s="186">
        <v>46124</v>
      </c>
      <c r="B475" s="187">
        <v>0.66666666666666663</v>
      </c>
      <c r="C475" s="192"/>
      <c r="D475" s="189" t="s">
        <v>693</v>
      </c>
      <c r="E475" s="189" t="s">
        <v>485</v>
      </c>
      <c r="F475" s="189" t="s">
        <v>155</v>
      </c>
      <c r="G475" s="189"/>
      <c r="H475" s="192">
        <f t="shared" si="15"/>
        <v>16</v>
      </c>
      <c r="I475" s="189"/>
      <c r="J475" s="189"/>
      <c r="K475" s="189"/>
    </row>
    <row r="476" spans="1:11" s="188" customFormat="1" x14ac:dyDescent="0.2">
      <c r="A476" s="186">
        <v>46124</v>
      </c>
      <c r="B476" s="187">
        <v>0.33333333333333331</v>
      </c>
      <c r="C476" s="192">
        <f t="shared" si="14"/>
        <v>1</v>
      </c>
      <c r="D476" s="189" t="s">
        <v>693</v>
      </c>
      <c r="E476" s="189" t="s">
        <v>485</v>
      </c>
      <c r="F476" s="189" t="s">
        <v>155</v>
      </c>
      <c r="G476" s="189"/>
      <c r="H476" s="192">
        <f t="shared" si="15"/>
        <v>0</v>
      </c>
      <c r="I476" s="189"/>
      <c r="J476" s="189"/>
      <c r="K476" s="189"/>
    </row>
    <row r="477" spans="1:11" s="188" customFormat="1" x14ac:dyDescent="0.2">
      <c r="A477" s="186">
        <v>46124</v>
      </c>
      <c r="B477" s="187">
        <v>0.66666666666666663</v>
      </c>
      <c r="C477" s="192"/>
      <c r="D477" s="189" t="s">
        <v>168</v>
      </c>
      <c r="E477" s="189" t="s">
        <v>486</v>
      </c>
      <c r="F477" s="189"/>
      <c r="G477" s="189"/>
      <c r="H477" s="192">
        <f t="shared" si="15"/>
        <v>0</v>
      </c>
      <c r="I477" s="189"/>
      <c r="J477" s="189"/>
      <c r="K477" s="189"/>
    </row>
    <row r="478" spans="1:11" s="188" customFormat="1" x14ac:dyDescent="0.2">
      <c r="A478" s="186">
        <v>46124</v>
      </c>
      <c r="B478" s="187">
        <v>0.33333333333333331</v>
      </c>
      <c r="C478" s="192">
        <f t="shared" si="14"/>
        <v>1</v>
      </c>
      <c r="D478" s="189" t="s">
        <v>168</v>
      </c>
      <c r="E478" s="189" t="s">
        <v>486</v>
      </c>
      <c r="F478" s="189"/>
      <c r="G478" s="189"/>
      <c r="H478" s="192">
        <f t="shared" si="15"/>
        <v>0</v>
      </c>
      <c r="I478" s="189"/>
      <c r="J478" s="189"/>
      <c r="K478" s="189"/>
    </row>
    <row r="479" spans="1:11" s="188" customFormat="1" x14ac:dyDescent="0.2">
      <c r="A479" s="186">
        <v>46124</v>
      </c>
      <c r="B479" s="187">
        <v>0.66666666666666663</v>
      </c>
      <c r="C479" s="192"/>
      <c r="D479" s="189" t="s">
        <v>758</v>
      </c>
      <c r="E479" s="189" t="s">
        <v>638</v>
      </c>
      <c r="F479" s="189"/>
      <c r="G479" s="189"/>
      <c r="H479" s="192">
        <f t="shared" si="15"/>
        <v>0</v>
      </c>
      <c r="I479" s="189"/>
      <c r="J479" s="189"/>
      <c r="K479" s="189"/>
    </row>
    <row r="480" spans="1:11" s="188" customFormat="1" x14ac:dyDescent="0.2">
      <c r="A480" s="186">
        <v>46124</v>
      </c>
      <c r="B480" s="187">
        <v>0.33333333333333331</v>
      </c>
      <c r="C480" s="192">
        <f t="shared" si="14"/>
        <v>1</v>
      </c>
      <c r="D480" s="189" t="s">
        <v>758</v>
      </c>
      <c r="E480" s="189" t="s">
        <v>638</v>
      </c>
      <c r="F480" s="189"/>
      <c r="G480" s="189"/>
      <c r="H480" s="192">
        <f t="shared" si="15"/>
        <v>0</v>
      </c>
      <c r="I480" s="189"/>
      <c r="J480" s="189"/>
      <c r="K480" s="189"/>
    </row>
    <row r="481" spans="1:11" s="188" customFormat="1" x14ac:dyDescent="0.2">
      <c r="A481" s="186">
        <v>46124</v>
      </c>
      <c r="B481" s="187">
        <v>0.66666666666666663</v>
      </c>
      <c r="C481" s="192"/>
      <c r="D481" s="189" t="s">
        <v>694</v>
      </c>
      <c r="E481" s="189" t="s">
        <v>647</v>
      </c>
      <c r="F481" s="189"/>
      <c r="G481" s="189"/>
      <c r="H481" s="192">
        <f t="shared" si="15"/>
        <v>0</v>
      </c>
      <c r="I481" s="189"/>
      <c r="J481" s="189"/>
      <c r="K481" s="189"/>
    </row>
    <row r="482" spans="1:11" s="188" customFormat="1" x14ac:dyDescent="0.2">
      <c r="A482" s="186">
        <v>46124</v>
      </c>
      <c r="B482" s="187">
        <v>0.33333333333333331</v>
      </c>
      <c r="C482" s="192">
        <f t="shared" si="14"/>
        <v>1</v>
      </c>
      <c r="D482" s="189" t="s">
        <v>694</v>
      </c>
      <c r="E482" s="189" t="s">
        <v>647</v>
      </c>
      <c r="F482" s="189"/>
      <c r="G482" s="189"/>
      <c r="H482" s="192">
        <f t="shared" si="15"/>
        <v>0</v>
      </c>
      <c r="I482" s="189"/>
      <c r="J482" s="189"/>
      <c r="K482" s="189"/>
    </row>
    <row r="483" spans="1:11" s="188" customFormat="1" x14ac:dyDescent="0.2">
      <c r="A483" s="186">
        <v>46124</v>
      </c>
      <c r="B483" s="187">
        <v>0.66666666666666663</v>
      </c>
      <c r="C483" s="192"/>
      <c r="D483" s="189" t="s">
        <v>650</v>
      </c>
      <c r="E483" s="189" t="s">
        <v>639</v>
      </c>
      <c r="F483" s="189"/>
      <c r="G483" s="189"/>
      <c r="H483" s="192">
        <f t="shared" si="15"/>
        <v>0</v>
      </c>
      <c r="I483" s="189"/>
      <c r="J483" s="189"/>
      <c r="K483" s="189"/>
    </row>
    <row r="484" spans="1:11" s="188" customFormat="1" x14ac:dyDescent="0.2">
      <c r="A484" s="186">
        <v>46124</v>
      </c>
      <c r="B484" s="187">
        <v>0.33333333333333331</v>
      </c>
      <c r="C484" s="192">
        <f t="shared" si="14"/>
        <v>1</v>
      </c>
      <c r="D484" s="189" t="s">
        <v>650</v>
      </c>
      <c r="E484" s="189" t="s">
        <v>639</v>
      </c>
      <c r="F484" s="189"/>
      <c r="G484" s="189"/>
      <c r="H484" s="192">
        <f t="shared" si="15"/>
        <v>0</v>
      </c>
      <c r="I484" s="189"/>
      <c r="J484" s="189"/>
      <c r="K484" s="189"/>
    </row>
    <row r="485" spans="1:11" s="188" customFormat="1" x14ac:dyDescent="0.2">
      <c r="A485" s="186">
        <v>46124</v>
      </c>
      <c r="B485" s="187">
        <v>0.66666666666666663</v>
      </c>
      <c r="C485" s="192"/>
      <c r="D485" s="189" t="s">
        <v>798</v>
      </c>
      <c r="E485" s="189" t="s">
        <v>643</v>
      </c>
      <c r="F485" s="189" t="s">
        <v>232</v>
      </c>
      <c r="G485" s="189"/>
      <c r="H485" s="192">
        <f t="shared" si="15"/>
        <v>0</v>
      </c>
      <c r="I485" s="189"/>
      <c r="J485" s="189"/>
      <c r="K485" s="189"/>
    </row>
    <row r="486" spans="1:11" s="188" customFormat="1" x14ac:dyDescent="0.2">
      <c r="A486" s="186">
        <v>46124</v>
      </c>
      <c r="B486" s="187">
        <v>0.33333333333333331</v>
      </c>
      <c r="C486" s="192">
        <f t="shared" si="14"/>
        <v>1</v>
      </c>
      <c r="D486" s="189" t="s">
        <v>798</v>
      </c>
      <c r="E486" s="189" t="s">
        <v>643</v>
      </c>
      <c r="F486" s="189" t="s">
        <v>232</v>
      </c>
      <c r="G486" s="189"/>
      <c r="H486" s="192">
        <f t="shared" si="15"/>
        <v>0</v>
      </c>
      <c r="I486" s="189"/>
      <c r="J486" s="189"/>
      <c r="K486" s="189"/>
    </row>
    <row r="487" spans="1:11" s="188" customFormat="1" x14ac:dyDescent="0.2">
      <c r="A487" s="186">
        <v>46124</v>
      </c>
      <c r="B487" s="187">
        <v>0.33333333333333331</v>
      </c>
      <c r="C487" s="192">
        <v>1</v>
      </c>
      <c r="D487" s="189" t="s">
        <v>10</v>
      </c>
      <c r="E487" s="189" t="s">
        <v>333</v>
      </c>
      <c r="F487" s="189" t="s">
        <v>792</v>
      </c>
      <c r="G487" s="189"/>
      <c r="H487" s="192">
        <f t="shared" si="15"/>
        <v>0</v>
      </c>
      <c r="I487" s="189"/>
      <c r="J487" s="189"/>
      <c r="K487" s="189"/>
    </row>
    <row r="488" spans="1:11" s="188" customFormat="1" x14ac:dyDescent="0.2">
      <c r="A488" s="186">
        <v>46124</v>
      </c>
      <c r="B488" s="187">
        <v>0.33333333333333331</v>
      </c>
      <c r="C488" s="192">
        <v>1.5</v>
      </c>
      <c r="D488" s="189" t="s">
        <v>22</v>
      </c>
      <c r="E488" s="189" t="s">
        <v>345</v>
      </c>
      <c r="F488" s="189" t="s">
        <v>768</v>
      </c>
      <c r="G488" s="189"/>
      <c r="H488" s="192">
        <f t="shared" si="15"/>
        <v>0</v>
      </c>
      <c r="I488" s="189"/>
      <c r="J488" s="189"/>
      <c r="K488" s="189"/>
    </row>
    <row r="489" spans="1:11" s="188" customFormat="1" x14ac:dyDescent="0.2">
      <c r="A489" s="186">
        <v>46124</v>
      </c>
      <c r="B489" s="187">
        <v>0.33333333333333331</v>
      </c>
      <c r="C489" s="192">
        <v>1</v>
      </c>
      <c r="D489" s="189" t="s">
        <v>104</v>
      </c>
      <c r="E489" s="189" t="s">
        <v>428</v>
      </c>
      <c r="F489" s="189" t="s">
        <v>101</v>
      </c>
      <c r="G489" s="189"/>
      <c r="H489" s="192">
        <f t="shared" si="15"/>
        <v>0</v>
      </c>
      <c r="I489" s="189"/>
      <c r="J489" s="189"/>
      <c r="K489" s="189"/>
    </row>
    <row r="490" spans="1:11" s="188" customFormat="1" x14ac:dyDescent="0.2">
      <c r="A490" s="186">
        <v>46124</v>
      </c>
      <c r="B490" s="187">
        <v>0.33333333333333331</v>
      </c>
      <c r="C490" s="192">
        <v>1</v>
      </c>
      <c r="D490" s="189" t="s">
        <v>233</v>
      </c>
      <c r="E490" s="189" t="s">
        <v>546</v>
      </c>
      <c r="F490" s="189" t="s">
        <v>232</v>
      </c>
      <c r="G490" s="189"/>
      <c r="H490" s="192">
        <f t="shared" si="15"/>
        <v>0</v>
      </c>
      <c r="I490" s="189"/>
      <c r="J490" s="189"/>
      <c r="K490" s="189"/>
    </row>
    <row r="491" spans="1:11" s="188" customFormat="1" x14ac:dyDescent="0.2">
      <c r="A491" s="186">
        <v>46124</v>
      </c>
      <c r="B491" s="187">
        <v>0.33333333333333331</v>
      </c>
      <c r="C491" s="192">
        <v>1</v>
      </c>
      <c r="D491" s="189" t="s">
        <v>16</v>
      </c>
      <c r="E491" s="189" t="s">
        <v>339</v>
      </c>
      <c r="F491" s="189" t="s">
        <v>674</v>
      </c>
      <c r="G491" s="189"/>
      <c r="H491" s="192">
        <f t="shared" si="15"/>
        <v>0</v>
      </c>
      <c r="I491" s="189"/>
      <c r="J491" s="189"/>
      <c r="K491" s="189"/>
    </row>
    <row r="492" spans="1:11" s="188" customFormat="1" x14ac:dyDescent="0.2">
      <c r="A492" s="186">
        <v>46124</v>
      </c>
      <c r="B492" s="187">
        <v>0.33333333333333331</v>
      </c>
      <c r="C492" s="192">
        <v>1.5</v>
      </c>
      <c r="D492" s="189" t="s">
        <v>701</v>
      </c>
      <c r="E492" s="189" t="s">
        <v>347</v>
      </c>
      <c r="F492" s="189" t="s">
        <v>768</v>
      </c>
      <c r="G492" s="189"/>
      <c r="H492" s="192">
        <f t="shared" si="15"/>
        <v>0</v>
      </c>
      <c r="I492" s="189"/>
      <c r="J492" s="189"/>
      <c r="K492" s="189"/>
    </row>
    <row r="493" spans="1:11" s="188" customFormat="1" x14ac:dyDescent="0.2">
      <c r="A493" s="186">
        <v>46124</v>
      </c>
      <c r="B493" s="187">
        <v>0.33333333333333331</v>
      </c>
      <c r="C493" s="192">
        <v>1</v>
      </c>
      <c r="D493" s="189" t="s">
        <v>273</v>
      </c>
      <c r="E493" s="189" t="s">
        <v>582</v>
      </c>
      <c r="F493" s="189" t="s">
        <v>272</v>
      </c>
      <c r="G493" s="189"/>
      <c r="H493" s="192">
        <f t="shared" si="15"/>
        <v>0</v>
      </c>
      <c r="I493" s="189"/>
      <c r="J493" s="189"/>
      <c r="K493" s="189"/>
    </row>
    <row r="494" spans="1:11" s="188" customFormat="1" x14ac:dyDescent="0.2">
      <c r="A494" s="186">
        <v>46124</v>
      </c>
      <c r="B494" s="187">
        <v>0.33333333333333331</v>
      </c>
      <c r="C494" s="192">
        <v>1</v>
      </c>
      <c r="D494" s="189" t="s">
        <v>697</v>
      </c>
      <c r="E494" s="189" t="s">
        <v>340</v>
      </c>
      <c r="F494" s="189" t="s">
        <v>702</v>
      </c>
      <c r="G494" s="189"/>
      <c r="H494" s="192">
        <f t="shared" si="15"/>
        <v>0</v>
      </c>
      <c r="I494" s="189"/>
      <c r="J494" s="189"/>
      <c r="K494" s="189"/>
    </row>
    <row r="495" spans="1:11" s="188" customFormat="1" x14ac:dyDescent="0.2">
      <c r="A495" s="186">
        <v>46124</v>
      </c>
      <c r="B495" s="187">
        <v>0.33333333333333331</v>
      </c>
      <c r="C495" s="192">
        <v>1</v>
      </c>
      <c r="D495" s="189" t="s">
        <v>845</v>
      </c>
      <c r="E495" s="189" t="s">
        <v>846</v>
      </c>
      <c r="F495" s="189" t="s">
        <v>718</v>
      </c>
      <c r="G495" s="189"/>
      <c r="H495" s="192">
        <f t="shared" si="15"/>
        <v>0</v>
      </c>
      <c r="I495" s="189"/>
      <c r="J495" s="189"/>
      <c r="K495" s="189"/>
    </row>
    <row r="496" spans="1:11" s="188" customFormat="1" x14ac:dyDescent="0.2">
      <c r="A496" s="186">
        <v>46124</v>
      </c>
      <c r="B496" s="187">
        <v>0.33333333333333331</v>
      </c>
      <c r="C496" s="192">
        <v>1</v>
      </c>
      <c r="D496" s="189" t="s">
        <v>670</v>
      </c>
      <c r="E496" s="189" t="s">
        <v>334</v>
      </c>
      <c r="F496" s="189" t="s">
        <v>668</v>
      </c>
      <c r="G496" s="189"/>
      <c r="H496" s="192">
        <f t="shared" si="15"/>
        <v>0</v>
      </c>
      <c r="I496" s="189"/>
      <c r="J496" s="189"/>
      <c r="K496" s="189"/>
    </row>
    <row r="497" spans="1:11" s="188" customFormat="1" x14ac:dyDescent="0.2">
      <c r="A497" s="186">
        <v>46124</v>
      </c>
      <c r="B497" s="187">
        <v>0.33333333333333331</v>
      </c>
      <c r="C497" s="192">
        <v>1</v>
      </c>
      <c r="D497" s="189" t="s">
        <v>676</v>
      </c>
      <c r="E497" s="189" t="s">
        <v>472</v>
      </c>
      <c r="F497" s="189" t="s">
        <v>668</v>
      </c>
      <c r="G497" s="189"/>
      <c r="H497" s="192">
        <f t="shared" si="15"/>
        <v>0</v>
      </c>
      <c r="I497" s="189"/>
      <c r="J497" s="189"/>
      <c r="K497" s="189"/>
    </row>
    <row r="498" spans="1:11" s="188" customFormat="1" x14ac:dyDescent="0.2">
      <c r="A498" s="186">
        <v>46124</v>
      </c>
      <c r="B498" s="187">
        <v>0.66666666666666663</v>
      </c>
      <c r="C498" s="192">
        <v>1</v>
      </c>
      <c r="D498" s="189" t="s">
        <v>762</v>
      </c>
      <c r="E498" s="189" t="s">
        <v>362</v>
      </c>
      <c r="F498" s="189"/>
      <c r="G498" s="189"/>
      <c r="H498" s="192">
        <f t="shared" si="15"/>
        <v>0</v>
      </c>
      <c r="I498" s="189"/>
      <c r="J498" s="189"/>
      <c r="K498" s="189"/>
    </row>
    <row r="499" spans="1:11" s="188" customFormat="1" x14ac:dyDescent="0.2">
      <c r="A499" s="186">
        <v>46124</v>
      </c>
      <c r="B499" s="187">
        <v>0.33333333333333331</v>
      </c>
      <c r="C499" s="192">
        <v>1</v>
      </c>
      <c r="D499" s="189" t="s">
        <v>19</v>
      </c>
      <c r="E499" s="189" t="s">
        <v>342</v>
      </c>
      <c r="F499" s="189" t="s">
        <v>674</v>
      </c>
      <c r="G499" s="189"/>
      <c r="H499" s="192">
        <f t="shared" si="15"/>
        <v>0</v>
      </c>
      <c r="I499" s="189"/>
      <c r="J499" s="189"/>
      <c r="K499" s="189"/>
    </row>
    <row r="500" spans="1:11" s="188" customFormat="1" x14ac:dyDescent="0.2">
      <c r="A500" s="186">
        <v>46124</v>
      </c>
      <c r="B500" s="187">
        <v>0.66666666666666663</v>
      </c>
      <c r="C500" s="192">
        <v>1</v>
      </c>
      <c r="D500" s="189" t="s">
        <v>61</v>
      </c>
      <c r="E500" s="189" t="s">
        <v>384</v>
      </c>
      <c r="F500" s="189" t="s">
        <v>42</v>
      </c>
      <c r="G500" s="189"/>
      <c r="H500" s="192">
        <f t="shared" si="15"/>
        <v>0</v>
      </c>
      <c r="I500" s="189"/>
      <c r="J500" s="189"/>
      <c r="K500" s="189"/>
    </row>
  </sheetData>
  <sortState ref="A2:C540">
    <sortCondition ref="B2"/>
  </sortState>
  <conditionalFormatting sqref="D65537">
    <cfRule type="uniqueValues" dxfId="74" priority="64" stopIfTrue="1"/>
  </conditionalFormatting>
  <conditionalFormatting sqref="D65538:D1048576">
    <cfRule type="uniqueValues" dxfId="73" priority="70"/>
  </conditionalFormatting>
  <conditionalFormatting sqref="D1:D65536">
    <cfRule type="uniqueValues" dxfId="72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S387"/>
  <sheetViews>
    <sheetView rightToLeft="1" tabSelected="1" topLeftCell="A295" zoomScale="40" zoomScaleNormal="40" workbookViewId="0">
      <selection activeCell="C323" sqref="C323"/>
    </sheetView>
  </sheetViews>
  <sheetFormatPr defaultColWidth="9" defaultRowHeight="33" x14ac:dyDescent="0.45"/>
  <cols>
    <col min="1" max="1" width="15" style="9" customWidth="1"/>
    <col min="2" max="2" width="20.75" style="9" customWidth="1"/>
    <col min="3" max="3" width="61.375" style="9" customWidth="1"/>
    <col min="4" max="4" width="55.625" style="4" customWidth="1"/>
    <col min="5" max="5" width="13" style="159" hidden="1" customWidth="1"/>
    <col min="6" max="6" width="13" style="160" hidden="1" customWidth="1"/>
    <col min="7" max="7" width="13" style="161" hidden="1" customWidth="1"/>
    <col min="8" max="8" width="15.125" style="159" hidden="1" customWidth="1"/>
  </cols>
  <sheetData>
    <row r="1" spans="1:8" ht="50.25" customHeight="1" x14ac:dyDescent="0.2">
      <c r="A1" s="7" t="s">
        <v>1106</v>
      </c>
      <c r="B1" s="7" t="s">
        <v>1103</v>
      </c>
      <c r="C1" s="7" t="s">
        <v>1104</v>
      </c>
      <c r="D1" s="1" t="s">
        <v>1105</v>
      </c>
      <c r="E1" s="147"/>
      <c r="F1" s="147"/>
      <c r="G1" s="147"/>
      <c r="H1" s="147"/>
    </row>
    <row r="2" spans="1:8" ht="50.25" customHeight="1" x14ac:dyDescent="0.2">
      <c r="A2" s="7" t="s">
        <v>325</v>
      </c>
      <c r="B2" s="7"/>
      <c r="C2" s="7"/>
      <c r="D2" s="1" t="s">
        <v>0</v>
      </c>
      <c r="E2" s="148">
        <v>1</v>
      </c>
      <c r="F2" s="148">
        <v>1</v>
      </c>
      <c r="G2" s="148">
        <v>1</v>
      </c>
      <c r="H2" s="148">
        <v>1</v>
      </c>
    </row>
    <row r="3" spans="1:8" ht="50.25" customHeight="1" x14ac:dyDescent="0.2">
      <c r="A3" s="7" t="s">
        <v>326</v>
      </c>
      <c r="B3" s="7"/>
      <c r="C3" s="7"/>
      <c r="D3" s="2" t="s">
        <v>1</v>
      </c>
      <c r="E3" s="148">
        <v>1</v>
      </c>
      <c r="F3" s="148">
        <v>1</v>
      </c>
      <c r="G3" s="148">
        <v>1</v>
      </c>
      <c r="H3" s="148">
        <v>1</v>
      </c>
    </row>
    <row r="4" spans="1:8" ht="50.25" customHeight="1" x14ac:dyDescent="0.2">
      <c r="A4" s="7" t="s">
        <v>327</v>
      </c>
      <c r="B4" s="1" t="s">
        <v>756</v>
      </c>
      <c r="C4" s="1" t="s">
        <v>750</v>
      </c>
      <c r="D4" s="2" t="s">
        <v>2</v>
      </c>
      <c r="E4" s="148">
        <v>1</v>
      </c>
      <c r="F4" s="148">
        <v>1</v>
      </c>
      <c r="G4" s="148">
        <v>1</v>
      </c>
      <c r="H4" s="148">
        <v>1</v>
      </c>
    </row>
    <row r="5" spans="1:8" ht="50.25" customHeight="1" x14ac:dyDescent="0.2">
      <c r="A5" s="7" t="s">
        <v>328</v>
      </c>
      <c r="B5" s="1" t="s">
        <v>756</v>
      </c>
      <c r="C5" s="1" t="s">
        <v>749</v>
      </c>
      <c r="D5" s="2" t="s">
        <v>3</v>
      </c>
      <c r="E5" s="148">
        <v>1</v>
      </c>
      <c r="F5" s="148">
        <v>1</v>
      </c>
      <c r="G5" s="148">
        <v>1</v>
      </c>
      <c r="H5" s="148">
        <v>1</v>
      </c>
    </row>
    <row r="6" spans="1:8" ht="50.25" customHeight="1" x14ac:dyDescent="0.45">
      <c r="A6" s="7" t="s">
        <v>644</v>
      </c>
      <c r="B6" s="1"/>
      <c r="D6" s="2" t="s">
        <v>4</v>
      </c>
      <c r="E6" s="148">
        <v>1</v>
      </c>
      <c r="F6" s="148">
        <v>1</v>
      </c>
      <c r="G6" s="148">
        <v>1</v>
      </c>
      <c r="H6" s="145">
        <v>0</v>
      </c>
    </row>
    <row r="7" spans="1:8" ht="50.25" customHeight="1" x14ac:dyDescent="0.2">
      <c r="A7" s="7" t="s">
        <v>645</v>
      </c>
      <c r="B7" s="120" t="s">
        <v>756</v>
      </c>
      <c r="C7" s="1" t="s">
        <v>801</v>
      </c>
      <c r="D7" s="2" t="s">
        <v>5</v>
      </c>
      <c r="E7" s="148">
        <v>1</v>
      </c>
      <c r="F7" s="148">
        <v>1</v>
      </c>
      <c r="G7" s="148">
        <v>1</v>
      </c>
      <c r="H7" s="148">
        <v>1.0000000000000009</v>
      </c>
    </row>
    <row r="8" spans="1:8" ht="50.25" customHeight="1" x14ac:dyDescent="0.2">
      <c r="A8" s="7" t="s">
        <v>329</v>
      </c>
      <c r="B8" s="7"/>
      <c r="C8" s="1"/>
      <c r="D8" s="2" t="s">
        <v>6</v>
      </c>
      <c r="E8" s="148">
        <v>1</v>
      </c>
      <c r="F8" s="148">
        <v>1</v>
      </c>
      <c r="G8" s="148">
        <v>1</v>
      </c>
      <c r="H8" s="148">
        <v>1</v>
      </c>
    </row>
    <row r="9" spans="1:8" ht="50.25" customHeight="1" x14ac:dyDescent="0.2">
      <c r="A9" s="7" t="s">
        <v>330</v>
      </c>
      <c r="B9" s="7"/>
      <c r="C9" s="1"/>
      <c r="D9" s="2" t="s">
        <v>7</v>
      </c>
      <c r="E9" s="148">
        <v>1</v>
      </c>
      <c r="F9" s="148">
        <v>1</v>
      </c>
      <c r="G9" s="148">
        <v>1</v>
      </c>
      <c r="H9" s="148">
        <v>1</v>
      </c>
    </row>
    <row r="10" spans="1:8" ht="50.25" customHeight="1" x14ac:dyDescent="0.2">
      <c r="A10" s="7" t="s">
        <v>331</v>
      </c>
      <c r="B10" s="120" t="s">
        <v>802</v>
      </c>
      <c r="C10" s="1" t="s">
        <v>803</v>
      </c>
      <c r="D10" s="1" t="s">
        <v>8</v>
      </c>
      <c r="E10" s="148">
        <v>1</v>
      </c>
      <c r="F10" s="148">
        <v>1</v>
      </c>
      <c r="G10" s="148">
        <v>1</v>
      </c>
      <c r="H10" s="148">
        <v>1</v>
      </c>
    </row>
    <row r="11" spans="1:8" ht="50.25" customHeight="1" x14ac:dyDescent="0.2">
      <c r="A11" s="7" t="s">
        <v>332</v>
      </c>
      <c r="B11" s="120" t="s">
        <v>802</v>
      </c>
      <c r="C11" s="1" t="s">
        <v>804</v>
      </c>
      <c r="D11" s="3" t="s">
        <v>9</v>
      </c>
      <c r="E11" s="148">
        <v>1</v>
      </c>
      <c r="F11" s="148">
        <v>1</v>
      </c>
      <c r="G11" s="148">
        <v>1</v>
      </c>
      <c r="H11" s="148">
        <v>1.0000000000000009</v>
      </c>
    </row>
    <row r="12" spans="1:8" ht="50.25" customHeight="1" x14ac:dyDescent="0.2">
      <c r="A12" s="7" t="s">
        <v>333</v>
      </c>
      <c r="B12" s="7"/>
      <c r="C12" s="1"/>
      <c r="D12" s="2" t="s">
        <v>10</v>
      </c>
      <c r="E12" s="148">
        <v>1</v>
      </c>
      <c r="F12" s="148">
        <v>1</v>
      </c>
      <c r="G12" s="148">
        <v>1</v>
      </c>
      <c r="H12" s="148">
        <v>1</v>
      </c>
    </row>
    <row r="13" spans="1:8" ht="50.25" customHeight="1" x14ac:dyDescent="0.2">
      <c r="A13" s="7" t="s">
        <v>334</v>
      </c>
      <c r="B13" s="121" t="s">
        <v>756</v>
      </c>
      <c r="C13" s="1" t="s">
        <v>805</v>
      </c>
      <c r="D13" s="2" t="s">
        <v>11</v>
      </c>
      <c r="E13" s="148">
        <v>0</v>
      </c>
      <c r="F13" s="148">
        <v>1</v>
      </c>
      <c r="G13" s="148">
        <v>1</v>
      </c>
      <c r="H13" s="28">
        <v>0.75</v>
      </c>
    </row>
    <row r="14" spans="1:8" ht="50.25" customHeight="1" x14ac:dyDescent="0.2">
      <c r="A14" s="143"/>
      <c r="B14" s="162"/>
      <c r="C14" s="162"/>
      <c r="D14" s="144"/>
      <c r="E14" s="144"/>
      <c r="F14" s="144"/>
      <c r="G14" s="144"/>
      <c r="H14" s="144"/>
    </row>
    <row r="15" spans="1:8" ht="50.25" customHeight="1" x14ac:dyDescent="0.2">
      <c r="A15" s="7" t="s">
        <v>335</v>
      </c>
      <c r="B15" s="119" t="s">
        <v>802</v>
      </c>
      <c r="C15" s="1" t="s">
        <v>806</v>
      </c>
      <c r="D15" s="1" t="s">
        <v>12</v>
      </c>
      <c r="E15" s="148">
        <v>0</v>
      </c>
      <c r="F15" s="148">
        <v>0</v>
      </c>
      <c r="G15" s="148">
        <v>0</v>
      </c>
      <c r="H15" s="148">
        <v>0</v>
      </c>
    </row>
    <row r="16" spans="1:8" ht="50.25" customHeight="1" x14ac:dyDescent="0.2">
      <c r="A16" s="7" t="s">
        <v>336</v>
      </c>
      <c r="B16" s="122" t="s">
        <v>802</v>
      </c>
      <c r="C16" s="1" t="s">
        <v>807</v>
      </c>
      <c r="D16" s="2" t="s">
        <v>13</v>
      </c>
      <c r="E16" s="149">
        <v>0.72</v>
      </c>
      <c r="F16" s="149">
        <v>0.78</v>
      </c>
      <c r="G16" s="149">
        <v>0.35</v>
      </c>
      <c r="H16" s="148">
        <v>1.0000000000000002</v>
      </c>
    </row>
    <row r="17" spans="1:8" ht="50.25" customHeight="1" x14ac:dyDescent="0.2">
      <c r="A17" s="7" t="s">
        <v>337</v>
      </c>
      <c r="B17" s="119" t="s">
        <v>802</v>
      </c>
      <c r="C17" s="1" t="s">
        <v>808</v>
      </c>
      <c r="D17" s="2" t="s">
        <v>14</v>
      </c>
      <c r="E17" s="148">
        <v>0</v>
      </c>
      <c r="F17" s="148">
        <v>0</v>
      </c>
      <c r="G17" s="149">
        <v>0.7</v>
      </c>
      <c r="H17" s="148">
        <v>0</v>
      </c>
    </row>
    <row r="18" spans="1:8" ht="50.25" customHeight="1" x14ac:dyDescent="0.2">
      <c r="A18" s="7" t="s">
        <v>338</v>
      </c>
      <c r="B18" s="122" t="s">
        <v>756</v>
      </c>
      <c r="C18" s="1" t="s">
        <v>809</v>
      </c>
      <c r="D18" s="2" t="s">
        <v>15</v>
      </c>
      <c r="E18" s="149">
        <v>0.4</v>
      </c>
      <c r="F18" s="148">
        <v>1</v>
      </c>
      <c r="G18" s="148">
        <v>0</v>
      </c>
      <c r="H18" s="148">
        <v>0</v>
      </c>
    </row>
    <row r="19" spans="1:8" ht="50.25" customHeight="1" x14ac:dyDescent="0.2">
      <c r="A19" s="143"/>
      <c r="B19" s="162"/>
      <c r="C19" s="162"/>
      <c r="D19" s="144"/>
      <c r="E19" s="144"/>
      <c r="F19" s="144"/>
      <c r="G19" s="144"/>
      <c r="H19" s="144"/>
    </row>
    <row r="20" spans="1:8" ht="50.25" customHeight="1" x14ac:dyDescent="0.2">
      <c r="A20" s="7" t="s">
        <v>339</v>
      </c>
      <c r="B20" s="121" t="s">
        <v>756</v>
      </c>
      <c r="C20" s="1" t="s">
        <v>849</v>
      </c>
      <c r="D20" s="2" t="s">
        <v>16</v>
      </c>
      <c r="E20" s="148">
        <v>1</v>
      </c>
      <c r="F20" s="148">
        <v>1</v>
      </c>
      <c r="G20" s="148">
        <v>1</v>
      </c>
      <c r="H20" s="148">
        <v>1</v>
      </c>
    </row>
    <row r="21" spans="1:8" ht="50.25" customHeight="1" x14ac:dyDescent="0.2">
      <c r="A21" s="7" t="s">
        <v>340</v>
      </c>
      <c r="B21" s="121" t="s">
        <v>756</v>
      </c>
      <c r="C21" s="1" t="s">
        <v>810</v>
      </c>
      <c r="D21" s="2" t="s">
        <v>17</v>
      </c>
      <c r="E21" s="148">
        <v>1</v>
      </c>
      <c r="F21" s="148">
        <v>1</v>
      </c>
      <c r="G21" s="148">
        <v>1</v>
      </c>
      <c r="H21" s="148">
        <v>1</v>
      </c>
    </row>
    <row r="22" spans="1:8" ht="50.25" customHeight="1" x14ac:dyDescent="0.2">
      <c r="A22" s="143"/>
      <c r="B22" s="162"/>
      <c r="C22" s="162"/>
      <c r="D22" s="144"/>
      <c r="E22" s="144"/>
      <c r="F22" s="144"/>
      <c r="G22" s="144"/>
      <c r="H22" s="144"/>
    </row>
    <row r="23" spans="1:8" ht="50.25" customHeight="1" x14ac:dyDescent="0.2">
      <c r="A23" s="7" t="s">
        <v>341</v>
      </c>
      <c r="B23" s="123" t="s">
        <v>802</v>
      </c>
      <c r="C23" s="1" t="s">
        <v>811</v>
      </c>
      <c r="D23" s="2" t="s">
        <v>18</v>
      </c>
      <c r="E23" s="148">
        <v>1</v>
      </c>
      <c r="F23" s="148">
        <v>1</v>
      </c>
      <c r="G23" s="148">
        <v>1</v>
      </c>
      <c r="H23" s="148">
        <v>1.0000000000000009</v>
      </c>
    </row>
    <row r="24" spans="1:8" ht="50.25" customHeight="1" x14ac:dyDescent="0.2">
      <c r="A24" s="7" t="s">
        <v>342</v>
      </c>
      <c r="B24" s="124" t="s">
        <v>802</v>
      </c>
      <c r="C24" s="1" t="s">
        <v>812</v>
      </c>
      <c r="D24" s="2" t="s">
        <v>19</v>
      </c>
      <c r="E24" s="148">
        <v>1</v>
      </c>
      <c r="F24" s="148">
        <v>1</v>
      </c>
      <c r="G24" s="148">
        <v>1</v>
      </c>
      <c r="H24" s="148">
        <v>1.0000000000000009</v>
      </c>
    </row>
    <row r="25" spans="1:8" ht="50.25" customHeight="1" x14ac:dyDescent="0.2">
      <c r="A25" s="7" t="s">
        <v>343</v>
      </c>
      <c r="B25" s="124" t="s">
        <v>756</v>
      </c>
      <c r="C25" s="1" t="s">
        <v>813</v>
      </c>
      <c r="D25" s="2" t="s">
        <v>20</v>
      </c>
      <c r="E25" s="148">
        <v>1</v>
      </c>
      <c r="F25" s="148">
        <v>1</v>
      </c>
      <c r="G25" s="148">
        <v>1</v>
      </c>
      <c r="H25" s="148">
        <v>1.0000000000000009</v>
      </c>
    </row>
    <row r="26" spans="1:8" ht="50.25" customHeight="1" x14ac:dyDescent="0.2">
      <c r="A26" s="7" t="s">
        <v>344</v>
      </c>
      <c r="B26" s="124" t="s">
        <v>756</v>
      </c>
      <c r="C26" s="1" t="s">
        <v>814</v>
      </c>
      <c r="D26" s="2" t="s">
        <v>21</v>
      </c>
      <c r="E26" s="148">
        <v>1</v>
      </c>
      <c r="F26" s="148">
        <v>1</v>
      </c>
      <c r="G26" s="148">
        <v>1</v>
      </c>
      <c r="H26" s="148">
        <v>1.0000000000000009</v>
      </c>
    </row>
    <row r="27" spans="1:8" ht="50.25" customHeight="1" x14ac:dyDescent="0.2">
      <c r="A27" s="143"/>
      <c r="B27" s="162"/>
      <c r="C27" s="162"/>
      <c r="D27" s="144"/>
      <c r="E27" s="144"/>
      <c r="F27" s="144"/>
      <c r="G27" s="144"/>
      <c r="H27" s="144"/>
    </row>
    <row r="28" spans="1:8" ht="50.25" customHeight="1" x14ac:dyDescent="0.2">
      <c r="A28" s="7" t="s">
        <v>345</v>
      </c>
      <c r="B28" s="123" t="s">
        <v>802</v>
      </c>
      <c r="C28" s="1" t="s">
        <v>815</v>
      </c>
      <c r="D28" s="2" t="s">
        <v>22</v>
      </c>
      <c r="E28" s="148">
        <v>1.5</v>
      </c>
      <c r="F28" s="148">
        <v>1.5</v>
      </c>
      <c r="G28" s="148">
        <v>1.5</v>
      </c>
      <c r="H28" s="148">
        <v>1.5</v>
      </c>
    </row>
    <row r="29" spans="1:8" ht="50.25" customHeight="1" x14ac:dyDescent="0.2">
      <c r="A29" s="16" t="s">
        <v>346</v>
      </c>
      <c r="B29" s="123" t="s">
        <v>756</v>
      </c>
      <c r="C29" s="1" t="s">
        <v>816</v>
      </c>
      <c r="D29" s="26" t="s">
        <v>23</v>
      </c>
      <c r="E29" s="146"/>
      <c r="F29" s="146"/>
      <c r="G29" s="146"/>
      <c r="H29" s="146"/>
    </row>
    <row r="30" spans="1:8" ht="50.25" customHeight="1" x14ac:dyDescent="0.2">
      <c r="A30" s="7" t="s">
        <v>347</v>
      </c>
      <c r="B30" s="123" t="s">
        <v>802</v>
      </c>
      <c r="C30" s="1" t="s">
        <v>817</v>
      </c>
      <c r="D30" s="2" t="s">
        <v>24</v>
      </c>
      <c r="E30" s="148">
        <v>1.5</v>
      </c>
      <c r="F30" s="148">
        <v>1.5</v>
      </c>
      <c r="G30" s="148">
        <v>1.5</v>
      </c>
      <c r="H30" s="148">
        <v>1.5</v>
      </c>
    </row>
    <row r="31" spans="1:8" ht="50.25" customHeight="1" x14ac:dyDescent="0.2">
      <c r="A31" s="7" t="s">
        <v>348</v>
      </c>
      <c r="B31" s="123" t="s">
        <v>756</v>
      </c>
      <c r="C31" s="1" t="s">
        <v>818</v>
      </c>
      <c r="D31" s="2" t="s">
        <v>25</v>
      </c>
      <c r="E31" s="148">
        <v>1</v>
      </c>
      <c r="F31" s="148">
        <v>1</v>
      </c>
      <c r="G31" s="148">
        <v>1</v>
      </c>
      <c r="H31" s="148">
        <v>1</v>
      </c>
    </row>
    <row r="32" spans="1:8" ht="50.25" customHeight="1" x14ac:dyDescent="0.2">
      <c r="A32" s="143"/>
      <c r="B32" s="162"/>
      <c r="C32" s="162"/>
      <c r="D32" s="144"/>
      <c r="E32" s="148"/>
      <c r="F32" s="148"/>
      <c r="G32" s="148"/>
      <c r="H32" s="148"/>
    </row>
    <row r="33" spans="1:8" ht="50.25" customHeight="1" x14ac:dyDescent="0.2">
      <c r="A33" s="7" t="s">
        <v>349</v>
      </c>
      <c r="B33" s="123" t="s">
        <v>802</v>
      </c>
      <c r="C33" s="1" t="s">
        <v>819</v>
      </c>
      <c r="D33" s="2" t="s">
        <v>26</v>
      </c>
      <c r="E33" s="148">
        <v>1</v>
      </c>
      <c r="F33" s="148">
        <v>1</v>
      </c>
      <c r="G33" s="148">
        <v>1</v>
      </c>
      <c r="H33" s="148">
        <v>1</v>
      </c>
    </row>
    <row r="34" spans="1:8" ht="50.25" customHeight="1" x14ac:dyDescent="0.2">
      <c r="A34" s="143"/>
      <c r="B34" s="162"/>
      <c r="C34" s="162"/>
      <c r="D34" s="144"/>
      <c r="E34" s="148"/>
      <c r="F34" s="148"/>
      <c r="G34" s="148"/>
      <c r="H34" s="148"/>
    </row>
    <row r="35" spans="1:8" ht="50.25" customHeight="1" x14ac:dyDescent="0.2">
      <c r="A35" s="7" t="s">
        <v>350</v>
      </c>
      <c r="B35" s="125" t="s">
        <v>820</v>
      </c>
      <c r="C35" s="1" t="s">
        <v>821</v>
      </c>
      <c r="D35" s="2" t="s">
        <v>27</v>
      </c>
      <c r="E35" s="148">
        <v>0.26875000000000004</v>
      </c>
      <c r="F35" s="148">
        <v>0.85</v>
      </c>
      <c r="G35" s="148">
        <v>1</v>
      </c>
      <c r="H35" s="148">
        <v>0.87</v>
      </c>
    </row>
    <row r="36" spans="1:8" ht="50.25" customHeight="1" x14ac:dyDescent="0.2">
      <c r="A36" s="7" t="s">
        <v>351</v>
      </c>
      <c r="B36" s="125" t="s">
        <v>822</v>
      </c>
      <c r="C36" s="1" t="s">
        <v>823</v>
      </c>
      <c r="D36" s="2" t="s">
        <v>28</v>
      </c>
      <c r="E36" s="148">
        <v>1</v>
      </c>
      <c r="F36" s="148">
        <v>1</v>
      </c>
      <c r="G36" s="148">
        <v>1</v>
      </c>
      <c r="H36" s="148">
        <v>1.0000000000000009</v>
      </c>
    </row>
    <row r="37" spans="1:8" ht="50.25" customHeight="1" x14ac:dyDescent="0.2">
      <c r="A37" s="7" t="s">
        <v>352</v>
      </c>
      <c r="B37" s="125" t="s">
        <v>802</v>
      </c>
      <c r="C37" s="1" t="s">
        <v>824</v>
      </c>
      <c r="D37" s="2" t="s">
        <v>29</v>
      </c>
      <c r="E37" s="148">
        <v>1</v>
      </c>
      <c r="F37" s="148">
        <v>1</v>
      </c>
      <c r="G37" s="148">
        <v>1</v>
      </c>
      <c r="H37" s="148">
        <v>1.0000000000000009</v>
      </c>
    </row>
    <row r="38" spans="1:8" ht="50.25" customHeight="1" x14ac:dyDescent="0.2">
      <c r="A38" s="10" t="s">
        <v>353</v>
      </c>
      <c r="B38" s="126" t="s">
        <v>802</v>
      </c>
      <c r="C38" s="1" t="s">
        <v>825</v>
      </c>
      <c r="D38" s="2" t="s">
        <v>30</v>
      </c>
      <c r="E38" s="148">
        <v>1</v>
      </c>
      <c r="F38" s="148">
        <v>1</v>
      </c>
      <c r="G38" s="148">
        <v>1</v>
      </c>
      <c r="H38" s="148">
        <v>1.0000000000000009</v>
      </c>
    </row>
    <row r="39" spans="1:8" ht="50.25" customHeight="1" x14ac:dyDescent="0.2">
      <c r="A39" s="7" t="s">
        <v>354</v>
      </c>
      <c r="B39" s="125" t="s">
        <v>802</v>
      </c>
      <c r="C39" s="1" t="s">
        <v>826</v>
      </c>
      <c r="D39" s="2" t="s">
        <v>31</v>
      </c>
      <c r="E39" s="148">
        <v>1</v>
      </c>
      <c r="F39" s="148">
        <v>1</v>
      </c>
      <c r="G39" s="148">
        <v>1</v>
      </c>
      <c r="H39" s="148">
        <v>1.0000000000000009</v>
      </c>
    </row>
    <row r="40" spans="1:8" ht="50.25" customHeight="1" x14ac:dyDescent="0.2">
      <c r="A40" s="7" t="s">
        <v>355</v>
      </c>
      <c r="B40" s="125" t="s">
        <v>802</v>
      </c>
      <c r="C40" s="1" t="s">
        <v>827</v>
      </c>
      <c r="D40" s="2" t="s">
        <v>32</v>
      </c>
      <c r="E40" s="148">
        <v>0</v>
      </c>
      <c r="F40" s="148">
        <v>0</v>
      </c>
      <c r="G40" s="148">
        <v>0</v>
      </c>
      <c r="H40" s="148">
        <v>0</v>
      </c>
    </row>
    <row r="41" spans="1:8" ht="50.25" customHeight="1" x14ac:dyDescent="0.2">
      <c r="A41" s="143"/>
      <c r="B41" s="162"/>
      <c r="C41" s="162"/>
      <c r="D41" s="144"/>
      <c r="E41" s="144"/>
      <c r="F41" s="144"/>
      <c r="G41" s="144"/>
      <c r="H41" s="144"/>
    </row>
    <row r="42" spans="1:8" ht="50.25" customHeight="1" x14ac:dyDescent="0.2">
      <c r="A42" s="7" t="s">
        <v>356</v>
      </c>
      <c r="B42" s="125" t="s">
        <v>802</v>
      </c>
      <c r="C42" s="1" t="s">
        <v>828</v>
      </c>
      <c r="D42" s="2" t="s">
        <v>33</v>
      </c>
      <c r="E42" s="148">
        <v>1</v>
      </c>
      <c r="F42" s="148">
        <v>1</v>
      </c>
      <c r="G42" s="148">
        <v>1</v>
      </c>
      <c r="H42" s="148">
        <v>1.0000000000000009</v>
      </c>
    </row>
    <row r="43" spans="1:8" ht="50.25" customHeight="1" x14ac:dyDescent="0.2">
      <c r="A43" s="7" t="s">
        <v>357</v>
      </c>
      <c r="B43" s="125" t="s">
        <v>829</v>
      </c>
      <c r="C43" s="1" t="s">
        <v>830</v>
      </c>
      <c r="D43" s="2" t="s">
        <v>34</v>
      </c>
      <c r="E43" s="145">
        <v>0</v>
      </c>
      <c r="F43" s="145">
        <v>0</v>
      </c>
      <c r="G43" s="145">
        <v>0</v>
      </c>
      <c r="H43" s="145">
        <v>0</v>
      </c>
    </row>
    <row r="44" spans="1:8" ht="50.25" customHeight="1" x14ac:dyDescent="0.2">
      <c r="A44" s="7" t="s">
        <v>358</v>
      </c>
      <c r="B44" s="125"/>
      <c r="C44" s="1"/>
      <c r="D44" s="2" t="s">
        <v>35</v>
      </c>
      <c r="E44" s="148">
        <v>1</v>
      </c>
      <c r="F44" s="148">
        <v>1</v>
      </c>
      <c r="G44" s="148">
        <v>1</v>
      </c>
      <c r="H44" s="148">
        <v>1</v>
      </c>
    </row>
    <row r="45" spans="1:8" ht="50.25" customHeight="1" x14ac:dyDescent="0.2">
      <c r="A45" s="7" t="s">
        <v>359</v>
      </c>
      <c r="B45" s="125" t="s">
        <v>756</v>
      </c>
      <c r="C45" s="1" t="s">
        <v>831</v>
      </c>
      <c r="D45" s="2" t="s">
        <v>36</v>
      </c>
      <c r="E45" s="148">
        <v>1</v>
      </c>
      <c r="F45" s="148">
        <v>1</v>
      </c>
      <c r="G45" s="148">
        <v>1</v>
      </c>
      <c r="H45" s="148">
        <v>1</v>
      </c>
    </row>
    <row r="46" spans="1:8" ht="50.25" customHeight="1" x14ac:dyDescent="0.2">
      <c r="A46" s="7" t="s">
        <v>360</v>
      </c>
      <c r="B46" s="7"/>
      <c r="C46" s="7"/>
      <c r="D46" s="2" t="s">
        <v>37</v>
      </c>
      <c r="E46" s="148">
        <v>1</v>
      </c>
      <c r="F46" s="148">
        <v>1</v>
      </c>
      <c r="G46" s="148">
        <v>1</v>
      </c>
      <c r="H46" s="148">
        <v>1</v>
      </c>
    </row>
    <row r="47" spans="1:8" ht="50.25" customHeight="1" x14ac:dyDescent="0.2">
      <c r="A47" s="7" t="s">
        <v>361</v>
      </c>
      <c r="B47" s="7"/>
      <c r="C47" s="7"/>
      <c r="D47" s="2" t="s">
        <v>38</v>
      </c>
      <c r="E47" s="148">
        <v>1</v>
      </c>
      <c r="F47" s="148">
        <v>1</v>
      </c>
      <c r="G47" s="148">
        <v>1</v>
      </c>
      <c r="H47" s="148">
        <v>1</v>
      </c>
    </row>
    <row r="48" spans="1:8" ht="50.25" customHeight="1" x14ac:dyDescent="0.2">
      <c r="A48" s="7"/>
      <c r="B48" s="162"/>
      <c r="C48" s="162"/>
      <c r="D48" s="2" t="s">
        <v>848</v>
      </c>
      <c r="E48" s="148">
        <v>1</v>
      </c>
      <c r="F48" s="148">
        <v>1</v>
      </c>
      <c r="G48" s="148">
        <v>1</v>
      </c>
      <c r="H48" s="148">
        <v>1</v>
      </c>
    </row>
    <row r="49" spans="1:8" ht="50.25" customHeight="1" x14ac:dyDescent="0.2">
      <c r="A49" s="7"/>
      <c r="B49" s="185"/>
      <c r="C49" s="185"/>
      <c r="D49" s="2" t="s">
        <v>1101</v>
      </c>
      <c r="E49" s="148"/>
      <c r="F49" s="148"/>
      <c r="G49" s="148"/>
      <c r="H49" s="148"/>
    </row>
    <row r="50" spans="1:8" ht="50.25" customHeight="1" x14ac:dyDescent="0.45">
      <c r="A50" s="143"/>
      <c r="D50" s="144"/>
      <c r="E50" s="148"/>
      <c r="F50" s="148"/>
      <c r="G50" s="148"/>
      <c r="H50" s="148"/>
    </row>
    <row r="51" spans="1:8" ht="50.25" customHeight="1" x14ac:dyDescent="0.2">
      <c r="A51" s="7" t="s">
        <v>363</v>
      </c>
      <c r="B51" s="125"/>
      <c r="C51" s="125" t="s">
        <v>832</v>
      </c>
      <c r="D51" s="2" t="s">
        <v>40</v>
      </c>
      <c r="E51" s="148">
        <v>0</v>
      </c>
      <c r="F51" s="148">
        <v>1</v>
      </c>
      <c r="G51" s="148">
        <v>1</v>
      </c>
      <c r="H51" s="148">
        <v>0</v>
      </c>
    </row>
    <row r="52" spans="1:8" ht="50.25" customHeight="1" x14ac:dyDescent="0.2">
      <c r="A52" s="8" t="s">
        <v>364</v>
      </c>
      <c r="B52" s="127" t="s">
        <v>756</v>
      </c>
      <c r="C52" s="127" t="s">
        <v>833</v>
      </c>
      <c r="D52" s="3" t="s">
        <v>41</v>
      </c>
      <c r="E52" s="148">
        <v>1</v>
      </c>
      <c r="F52" s="148">
        <v>1</v>
      </c>
      <c r="G52" s="148">
        <v>1</v>
      </c>
      <c r="H52" s="148">
        <v>1</v>
      </c>
    </row>
    <row r="53" spans="1:8" ht="50.25" customHeight="1" x14ac:dyDescent="0.2">
      <c r="A53" s="143"/>
      <c r="B53" s="162"/>
      <c r="C53" s="162"/>
      <c r="D53" s="144"/>
      <c r="E53" s="148"/>
      <c r="F53" s="148"/>
      <c r="G53" s="148"/>
      <c r="H53" s="148"/>
    </row>
    <row r="54" spans="1:8" ht="50.25" customHeight="1" x14ac:dyDescent="0.2">
      <c r="A54" s="7" t="s">
        <v>365</v>
      </c>
      <c r="B54" s="123" t="s">
        <v>802</v>
      </c>
      <c r="C54" s="123" t="s">
        <v>834</v>
      </c>
      <c r="D54" s="2" t="s">
        <v>43</v>
      </c>
      <c r="E54" s="148">
        <v>1</v>
      </c>
      <c r="F54" s="148">
        <v>1</v>
      </c>
      <c r="G54" s="148">
        <v>1</v>
      </c>
      <c r="H54" s="148">
        <v>1.0000000000000009</v>
      </c>
    </row>
    <row r="55" spans="1:8" ht="50.25" customHeight="1" x14ac:dyDescent="0.2">
      <c r="A55" s="7" t="s">
        <v>366</v>
      </c>
      <c r="B55" s="125" t="s">
        <v>822</v>
      </c>
      <c r="C55" s="123" t="s">
        <v>835</v>
      </c>
      <c r="D55" s="2" t="s">
        <v>44</v>
      </c>
      <c r="E55" s="148">
        <v>1</v>
      </c>
      <c r="F55" s="148">
        <v>1</v>
      </c>
      <c r="G55" s="148">
        <v>1</v>
      </c>
      <c r="H55" s="148">
        <v>1.0000000000000009</v>
      </c>
    </row>
    <row r="56" spans="1:8" ht="50.25" customHeight="1" x14ac:dyDescent="0.2">
      <c r="A56" s="7" t="s">
        <v>367</v>
      </c>
      <c r="B56" s="123" t="s">
        <v>756</v>
      </c>
      <c r="C56" s="123" t="s">
        <v>837</v>
      </c>
      <c r="D56" s="2" t="s">
        <v>45</v>
      </c>
      <c r="E56" s="148">
        <v>1</v>
      </c>
      <c r="F56" s="148">
        <v>1</v>
      </c>
      <c r="G56" s="148">
        <v>1</v>
      </c>
      <c r="H56" s="148">
        <v>1.0000000000000009</v>
      </c>
    </row>
    <row r="57" spans="1:8" ht="50.25" customHeight="1" x14ac:dyDescent="0.2">
      <c r="A57" s="8" t="s">
        <v>368</v>
      </c>
      <c r="B57" s="123" t="s">
        <v>756</v>
      </c>
      <c r="C57" s="129" t="s">
        <v>836</v>
      </c>
      <c r="D57" s="2" t="s">
        <v>46</v>
      </c>
      <c r="E57" s="148">
        <v>1</v>
      </c>
      <c r="F57" s="148">
        <v>1</v>
      </c>
      <c r="G57" s="148">
        <v>0.96</v>
      </c>
      <c r="H57" s="148">
        <v>1</v>
      </c>
    </row>
    <row r="58" spans="1:8" ht="50.25" customHeight="1" x14ac:dyDescent="0.45">
      <c r="A58" s="7" t="s">
        <v>369</v>
      </c>
      <c r="B58" s="163"/>
      <c r="C58" s="163"/>
      <c r="D58" s="2" t="s">
        <v>47</v>
      </c>
      <c r="E58" s="148">
        <v>0</v>
      </c>
      <c r="F58" s="148">
        <v>1</v>
      </c>
      <c r="G58" s="148">
        <v>1</v>
      </c>
      <c r="H58" s="148">
        <v>0.46</v>
      </c>
    </row>
    <row r="59" spans="1:8" ht="50.25" customHeight="1" x14ac:dyDescent="0.2">
      <c r="A59" s="7" t="s">
        <v>370</v>
      </c>
      <c r="B59" s="123"/>
      <c r="C59" s="129"/>
      <c r="D59" s="2" t="s">
        <v>48</v>
      </c>
      <c r="E59" s="148">
        <v>1</v>
      </c>
      <c r="F59" s="148">
        <v>1</v>
      </c>
      <c r="G59" s="148">
        <v>0.89</v>
      </c>
      <c r="H59" s="148">
        <v>1</v>
      </c>
    </row>
    <row r="60" spans="1:8" ht="50.25" customHeight="1" x14ac:dyDescent="0.2">
      <c r="A60" s="7" t="s">
        <v>371</v>
      </c>
      <c r="B60" s="123" t="s">
        <v>756</v>
      </c>
      <c r="C60" s="129" t="s">
        <v>850</v>
      </c>
      <c r="D60" s="2" t="s">
        <v>49</v>
      </c>
      <c r="E60" s="148">
        <v>1</v>
      </c>
      <c r="F60" s="148">
        <v>1</v>
      </c>
      <c r="G60" s="148">
        <v>1</v>
      </c>
      <c r="H60" s="148">
        <v>1.0000000000000009</v>
      </c>
    </row>
    <row r="61" spans="1:8" ht="50.25" customHeight="1" x14ac:dyDescent="0.2">
      <c r="A61" s="7" t="s">
        <v>846</v>
      </c>
      <c r="B61" s="129" t="s">
        <v>802</v>
      </c>
      <c r="C61" s="129" t="s">
        <v>851</v>
      </c>
      <c r="D61" s="2" t="s">
        <v>847</v>
      </c>
      <c r="E61" s="146"/>
      <c r="F61" s="146"/>
      <c r="G61" s="146"/>
      <c r="H61" s="146"/>
    </row>
    <row r="62" spans="1:8" ht="50.25" customHeight="1" x14ac:dyDescent="0.2">
      <c r="A62" s="8" t="s">
        <v>372</v>
      </c>
      <c r="B62" s="123" t="s">
        <v>802</v>
      </c>
      <c r="C62" s="123" t="s">
        <v>852</v>
      </c>
      <c r="D62" s="2" t="s">
        <v>50</v>
      </c>
      <c r="E62" s="148">
        <v>1</v>
      </c>
      <c r="F62" s="148">
        <v>1</v>
      </c>
      <c r="G62" s="148">
        <v>1</v>
      </c>
      <c r="H62" s="148">
        <v>0</v>
      </c>
    </row>
    <row r="63" spans="1:8" ht="50.25" customHeight="1" x14ac:dyDescent="0.2">
      <c r="A63" s="7" t="s">
        <v>373</v>
      </c>
      <c r="B63" s="123" t="s">
        <v>756</v>
      </c>
      <c r="C63" s="123" t="s">
        <v>853</v>
      </c>
      <c r="D63" s="2" t="s">
        <v>51</v>
      </c>
      <c r="E63" s="148">
        <v>1</v>
      </c>
      <c r="F63" s="148">
        <v>1</v>
      </c>
      <c r="G63" s="148">
        <v>1</v>
      </c>
      <c r="H63" s="148">
        <v>1</v>
      </c>
    </row>
    <row r="64" spans="1:8" ht="50.25" customHeight="1" x14ac:dyDescent="0.2">
      <c r="A64" s="16" t="s">
        <v>374</v>
      </c>
      <c r="B64" s="164" t="s">
        <v>756</v>
      </c>
      <c r="C64" s="124" t="s">
        <v>854</v>
      </c>
      <c r="D64" s="26" t="s">
        <v>745</v>
      </c>
      <c r="E64" s="26"/>
      <c r="F64" s="26"/>
      <c r="G64" s="26"/>
      <c r="H64" s="26"/>
    </row>
    <row r="65" spans="1:9" ht="50.25" customHeight="1" x14ac:dyDescent="0.2">
      <c r="A65" s="7" t="s">
        <v>375</v>
      </c>
      <c r="B65" s="123" t="s">
        <v>756</v>
      </c>
      <c r="C65" s="123" t="s">
        <v>855</v>
      </c>
      <c r="D65" s="2" t="s">
        <v>52</v>
      </c>
      <c r="E65" s="148">
        <v>1</v>
      </c>
      <c r="F65" s="148">
        <v>1</v>
      </c>
      <c r="G65" s="148">
        <v>0</v>
      </c>
      <c r="H65" s="148">
        <v>0</v>
      </c>
    </row>
    <row r="66" spans="1:9" ht="50.25" customHeight="1" x14ac:dyDescent="0.2">
      <c r="A66" s="7" t="s">
        <v>376</v>
      </c>
      <c r="B66" s="123" t="s">
        <v>802</v>
      </c>
      <c r="C66" s="123" t="s">
        <v>856</v>
      </c>
      <c r="D66" s="2" t="s">
        <v>53</v>
      </c>
      <c r="E66" s="148">
        <v>1</v>
      </c>
      <c r="F66" s="148">
        <v>1</v>
      </c>
      <c r="G66" s="148">
        <v>1</v>
      </c>
      <c r="H66" s="148">
        <v>1.0000000000000009</v>
      </c>
    </row>
    <row r="67" spans="1:9" ht="50.25" customHeight="1" x14ac:dyDescent="0.2">
      <c r="A67" s="7" t="s">
        <v>377</v>
      </c>
      <c r="B67" s="129" t="s">
        <v>756</v>
      </c>
      <c r="C67" s="123" t="s">
        <v>857</v>
      </c>
      <c r="D67" s="2" t="s">
        <v>54</v>
      </c>
      <c r="E67" s="148">
        <v>1</v>
      </c>
      <c r="F67" s="148">
        <v>1</v>
      </c>
      <c r="G67" s="148">
        <v>1</v>
      </c>
      <c r="H67" s="148">
        <v>1.0000000000000009</v>
      </c>
      <c r="I67" s="25"/>
    </row>
    <row r="68" spans="1:9" ht="50.25" customHeight="1" x14ac:dyDescent="0.2">
      <c r="A68" s="111" t="s">
        <v>378</v>
      </c>
      <c r="B68" s="124" t="s">
        <v>802</v>
      </c>
      <c r="C68" s="124" t="s">
        <v>858</v>
      </c>
      <c r="D68" s="112" t="s">
        <v>55</v>
      </c>
      <c r="E68" s="148">
        <v>1</v>
      </c>
      <c r="F68" s="148">
        <v>1</v>
      </c>
      <c r="G68" s="148">
        <v>1</v>
      </c>
      <c r="H68" s="148">
        <v>1</v>
      </c>
      <c r="I68" s="25"/>
    </row>
    <row r="69" spans="1:9" ht="50.25" customHeight="1" x14ac:dyDescent="0.2">
      <c r="A69" s="111" t="s">
        <v>362</v>
      </c>
      <c r="B69" s="124" t="s">
        <v>802</v>
      </c>
      <c r="C69" s="124" t="s">
        <v>859</v>
      </c>
      <c r="D69" s="113" t="s">
        <v>660</v>
      </c>
      <c r="E69" s="148">
        <v>1</v>
      </c>
      <c r="F69" s="148">
        <v>0</v>
      </c>
      <c r="G69" s="148">
        <v>1</v>
      </c>
      <c r="H69" s="148">
        <v>1</v>
      </c>
      <c r="I69" s="25"/>
    </row>
    <row r="70" spans="1:9" ht="50.25" customHeight="1" x14ac:dyDescent="0.2">
      <c r="A70" s="111" t="s">
        <v>663</v>
      </c>
      <c r="B70" s="124" t="s">
        <v>802</v>
      </c>
      <c r="C70" s="165" t="s">
        <v>860</v>
      </c>
      <c r="D70" s="113" t="s">
        <v>657</v>
      </c>
      <c r="E70" s="148">
        <v>1</v>
      </c>
      <c r="F70" s="148">
        <v>1</v>
      </c>
      <c r="G70" s="148">
        <v>1</v>
      </c>
      <c r="H70" s="148">
        <v>1</v>
      </c>
    </row>
    <row r="71" spans="1:9" ht="50.25" customHeight="1" x14ac:dyDescent="0.2">
      <c r="A71" s="111" t="s">
        <v>736</v>
      </c>
      <c r="B71" s="124" t="s">
        <v>802</v>
      </c>
      <c r="C71" s="165" t="s">
        <v>861</v>
      </c>
      <c r="D71" s="112" t="s">
        <v>705</v>
      </c>
      <c r="E71" s="148">
        <v>1</v>
      </c>
      <c r="F71" s="148">
        <v>1</v>
      </c>
      <c r="G71" s="148">
        <v>1</v>
      </c>
      <c r="H71" s="148">
        <v>1.0000000000000009</v>
      </c>
    </row>
    <row r="72" spans="1:9" ht="50.25" customHeight="1" x14ac:dyDescent="0.2">
      <c r="A72" s="111" t="s">
        <v>746</v>
      </c>
      <c r="B72" s="124"/>
      <c r="C72" s="124"/>
      <c r="D72" s="112" t="s">
        <v>706</v>
      </c>
      <c r="E72" s="148">
        <v>0</v>
      </c>
      <c r="F72" s="148">
        <v>0</v>
      </c>
      <c r="G72" s="148">
        <v>0</v>
      </c>
      <c r="H72" s="148">
        <v>1</v>
      </c>
    </row>
    <row r="73" spans="1:9" ht="50.25" customHeight="1" x14ac:dyDescent="0.2">
      <c r="A73" s="7" t="s">
        <v>380</v>
      </c>
      <c r="B73" s="129" t="s">
        <v>756</v>
      </c>
      <c r="C73" s="165" t="s">
        <v>862</v>
      </c>
      <c r="D73" s="2" t="s">
        <v>57</v>
      </c>
      <c r="E73" s="148">
        <v>1</v>
      </c>
      <c r="F73" s="148">
        <v>1</v>
      </c>
      <c r="G73" s="148">
        <v>1</v>
      </c>
      <c r="H73" s="148">
        <v>1.0000000000000009</v>
      </c>
    </row>
    <row r="74" spans="1:9" ht="50.25" customHeight="1" x14ac:dyDescent="0.2">
      <c r="A74" s="7" t="s">
        <v>381</v>
      </c>
      <c r="B74" s="124"/>
      <c r="C74" s="165"/>
      <c r="D74" s="2" t="s">
        <v>58</v>
      </c>
      <c r="E74" s="148">
        <v>1</v>
      </c>
      <c r="F74" s="148">
        <v>0</v>
      </c>
      <c r="G74" s="148">
        <v>1</v>
      </c>
      <c r="H74" s="148">
        <v>1</v>
      </c>
    </row>
    <row r="75" spans="1:9" ht="50.25" customHeight="1" x14ac:dyDescent="0.2">
      <c r="A75" s="8" t="s">
        <v>483</v>
      </c>
      <c r="B75" s="123" t="s">
        <v>802</v>
      </c>
      <c r="C75" s="123" t="s">
        <v>863</v>
      </c>
      <c r="D75" s="2" t="s">
        <v>165</v>
      </c>
      <c r="E75" s="148">
        <v>1</v>
      </c>
      <c r="F75" s="148">
        <v>1</v>
      </c>
      <c r="G75" s="148">
        <v>1</v>
      </c>
      <c r="H75" s="148">
        <v>1.0000000000000009</v>
      </c>
    </row>
    <row r="76" spans="1:9" ht="50.25" customHeight="1" x14ac:dyDescent="0.2">
      <c r="A76" s="7" t="s">
        <v>382</v>
      </c>
      <c r="B76" s="123" t="s">
        <v>802</v>
      </c>
      <c r="C76" s="123" t="s">
        <v>864</v>
      </c>
      <c r="D76" s="2" t="s">
        <v>59</v>
      </c>
      <c r="E76" s="148">
        <v>1</v>
      </c>
      <c r="F76" s="148">
        <v>1</v>
      </c>
      <c r="G76" s="148">
        <v>1</v>
      </c>
      <c r="H76" s="148">
        <v>1.0000000000000009</v>
      </c>
    </row>
    <row r="77" spans="1:9" ht="50.25" customHeight="1" x14ac:dyDescent="0.2">
      <c r="A77" s="8" t="s">
        <v>840</v>
      </c>
      <c r="B77" s="123"/>
      <c r="C77" s="123"/>
      <c r="D77" s="2" t="s">
        <v>60</v>
      </c>
      <c r="E77" s="148">
        <v>1</v>
      </c>
      <c r="F77" s="148">
        <v>1</v>
      </c>
      <c r="G77" s="148">
        <v>1</v>
      </c>
      <c r="H77" s="148">
        <v>1.0000000000000009</v>
      </c>
      <c r="I77" s="25"/>
    </row>
    <row r="78" spans="1:9" ht="50.25" customHeight="1" x14ac:dyDescent="0.2">
      <c r="A78" s="8" t="s">
        <v>384</v>
      </c>
      <c r="B78" s="129" t="s">
        <v>802</v>
      </c>
      <c r="C78" s="166" t="s">
        <v>865</v>
      </c>
      <c r="D78" s="2" t="s">
        <v>61</v>
      </c>
      <c r="E78" s="148">
        <v>1</v>
      </c>
      <c r="F78" s="148">
        <v>1</v>
      </c>
      <c r="G78" s="148">
        <v>1</v>
      </c>
      <c r="H78" s="148">
        <v>1</v>
      </c>
    </row>
    <row r="79" spans="1:9" ht="50.25" customHeight="1" x14ac:dyDescent="0.2">
      <c r="A79" s="8" t="s">
        <v>385</v>
      </c>
      <c r="B79" s="165" t="s">
        <v>756</v>
      </c>
      <c r="C79" s="129" t="s">
        <v>866</v>
      </c>
      <c r="D79" s="2" t="s">
        <v>62</v>
      </c>
      <c r="E79" s="148">
        <v>1</v>
      </c>
      <c r="F79" s="148">
        <v>0</v>
      </c>
      <c r="G79" s="148">
        <v>1</v>
      </c>
      <c r="H79" s="148">
        <v>1.0000000000000009</v>
      </c>
    </row>
    <row r="80" spans="1:9" ht="50.25" customHeight="1" x14ac:dyDescent="0.2">
      <c r="A80" s="8" t="s">
        <v>386</v>
      </c>
      <c r="B80" s="123"/>
      <c r="C80" s="123"/>
      <c r="D80" s="2" t="s">
        <v>63</v>
      </c>
      <c r="E80" s="148">
        <v>1</v>
      </c>
      <c r="F80" s="148">
        <v>1</v>
      </c>
      <c r="G80" s="148">
        <v>1</v>
      </c>
      <c r="H80" s="148">
        <v>1.0000000000000009</v>
      </c>
    </row>
    <row r="81" spans="1:8" ht="50.25" customHeight="1" x14ac:dyDescent="0.2">
      <c r="A81" s="8" t="s">
        <v>387</v>
      </c>
      <c r="B81" s="123"/>
      <c r="C81" s="123"/>
      <c r="D81" s="2" t="s">
        <v>64</v>
      </c>
      <c r="E81" s="148">
        <v>1</v>
      </c>
      <c r="F81" s="148">
        <v>1</v>
      </c>
      <c r="G81" s="148">
        <v>1</v>
      </c>
      <c r="H81" s="148">
        <v>1</v>
      </c>
    </row>
    <row r="82" spans="1:8" ht="50.25" customHeight="1" x14ac:dyDescent="0.2">
      <c r="A82" s="8" t="s">
        <v>388</v>
      </c>
      <c r="B82" s="129"/>
      <c r="C82" s="166"/>
      <c r="D82" s="2" t="s">
        <v>65</v>
      </c>
      <c r="E82" s="148">
        <v>1</v>
      </c>
      <c r="F82" s="148">
        <v>1</v>
      </c>
      <c r="G82" s="148">
        <v>1</v>
      </c>
      <c r="H82" s="148">
        <v>1</v>
      </c>
    </row>
    <row r="83" spans="1:8" ht="50.25" customHeight="1" x14ac:dyDescent="0.2">
      <c r="A83" s="8" t="s">
        <v>389</v>
      </c>
      <c r="B83" s="165"/>
      <c r="C83" s="129"/>
      <c r="D83" s="2" t="s">
        <v>66</v>
      </c>
      <c r="E83" s="148">
        <v>1</v>
      </c>
      <c r="F83" s="148">
        <v>1</v>
      </c>
      <c r="G83" s="148">
        <v>0</v>
      </c>
      <c r="H83" s="148">
        <v>1.0000000000000009</v>
      </c>
    </row>
    <row r="84" spans="1:8" ht="50.25" customHeight="1" x14ac:dyDescent="0.2">
      <c r="A84" s="8" t="s">
        <v>390</v>
      </c>
      <c r="B84" s="129" t="s">
        <v>756</v>
      </c>
      <c r="C84" s="129" t="s">
        <v>867</v>
      </c>
      <c r="D84" s="2" t="s">
        <v>67</v>
      </c>
      <c r="E84" s="148">
        <v>1</v>
      </c>
      <c r="F84" s="148">
        <v>1</v>
      </c>
      <c r="G84" s="148">
        <v>1</v>
      </c>
      <c r="H84" s="148">
        <v>1</v>
      </c>
    </row>
    <row r="85" spans="1:8" ht="50.25" customHeight="1" x14ac:dyDescent="0.2">
      <c r="A85" s="143"/>
      <c r="B85" s="167"/>
      <c r="C85" s="167"/>
      <c r="D85" s="144"/>
      <c r="E85" s="148"/>
      <c r="F85" s="148"/>
      <c r="G85" s="148"/>
      <c r="H85" s="148"/>
    </row>
    <row r="86" spans="1:8" ht="50.25" customHeight="1" x14ac:dyDescent="0.2">
      <c r="A86" s="11" t="s">
        <v>68</v>
      </c>
      <c r="B86" s="129"/>
      <c r="C86" s="129"/>
      <c r="D86" s="5"/>
      <c r="E86" s="150"/>
      <c r="F86" s="151"/>
      <c r="G86" s="152"/>
      <c r="H86" s="152"/>
    </row>
    <row r="87" spans="1:8" ht="50.25" customHeight="1" x14ac:dyDescent="0.2">
      <c r="A87" s="7" t="s">
        <v>391</v>
      </c>
      <c r="B87" s="129"/>
      <c r="C87" s="129"/>
      <c r="D87" s="2" t="s">
        <v>69</v>
      </c>
      <c r="E87" s="148">
        <v>0</v>
      </c>
      <c r="F87" s="148">
        <v>0</v>
      </c>
      <c r="G87" s="148">
        <v>0</v>
      </c>
      <c r="H87" s="148">
        <v>1.0000000000000009</v>
      </c>
    </row>
    <row r="88" spans="1:8" ht="50.25" customHeight="1" x14ac:dyDescent="0.2">
      <c r="A88" s="7" t="s">
        <v>392</v>
      </c>
      <c r="B88" s="123" t="s">
        <v>822</v>
      </c>
      <c r="C88" s="123" t="s">
        <v>868</v>
      </c>
      <c r="D88" s="2" t="s">
        <v>70</v>
      </c>
      <c r="E88" s="148">
        <v>1</v>
      </c>
      <c r="F88" s="148">
        <v>1</v>
      </c>
      <c r="G88" s="148">
        <v>1</v>
      </c>
      <c r="H88" s="148">
        <v>1.0000000000000009</v>
      </c>
    </row>
    <row r="89" spans="1:8" ht="50.25" customHeight="1" x14ac:dyDescent="0.2">
      <c r="A89" s="7" t="s">
        <v>393</v>
      </c>
      <c r="B89" s="123"/>
      <c r="C89" s="123"/>
      <c r="D89" s="2" t="s">
        <v>71</v>
      </c>
      <c r="E89" s="148">
        <v>1</v>
      </c>
      <c r="F89" s="148">
        <v>1</v>
      </c>
      <c r="G89" s="148">
        <v>1</v>
      </c>
      <c r="H89" s="148">
        <v>1.0000000000000009</v>
      </c>
    </row>
    <row r="90" spans="1:8" ht="50.25" customHeight="1" x14ac:dyDescent="0.2">
      <c r="A90" s="7" t="s">
        <v>394</v>
      </c>
      <c r="B90" s="123"/>
      <c r="C90" s="123"/>
      <c r="D90" s="2" t="s">
        <v>72</v>
      </c>
      <c r="E90" s="148">
        <v>1</v>
      </c>
      <c r="F90" s="148">
        <v>1</v>
      </c>
      <c r="G90" s="148">
        <v>1</v>
      </c>
      <c r="H90" s="148">
        <v>1.0000000000000009</v>
      </c>
    </row>
    <row r="91" spans="1:8" ht="50.25" customHeight="1" x14ac:dyDescent="0.2">
      <c r="A91" s="7" t="s">
        <v>395</v>
      </c>
      <c r="B91" s="123" t="s">
        <v>869</v>
      </c>
      <c r="C91" s="123" t="s">
        <v>870</v>
      </c>
      <c r="D91" s="2" t="s">
        <v>73</v>
      </c>
      <c r="E91" s="148">
        <v>1</v>
      </c>
      <c r="F91" s="148">
        <v>1</v>
      </c>
      <c r="G91" s="148">
        <v>1</v>
      </c>
      <c r="H91" s="148">
        <v>1.0000000000000009</v>
      </c>
    </row>
    <row r="92" spans="1:8" ht="50.25" customHeight="1" x14ac:dyDescent="0.2">
      <c r="A92" s="7" t="s">
        <v>396</v>
      </c>
      <c r="B92" s="123" t="s">
        <v>802</v>
      </c>
      <c r="C92" s="123" t="s">
        <v>871</v>
      </c>
      <c r="D92" s="2" t="s">
        <v>74</v>
      </c>
      <c r="E92" s="148">
        <v>1</v>
      </c>
      <c r="F92" s="148">
        <v>1</v>
      </c>
      <c r="G92" s="148">
        <v>1</v>
      </c>
      <c r="H92" s="148">
        <v>1.0000000000000009</v>
      </c>
    </row>
    <row r="93" spans="1:8" ht="50.25" customHeight="1" x14ac:dyDescent="0.2">
      <c r="A93" s="7" t="s">
        <v>397</v>
      </c>
      <c r="B93" s="7"/>
      <c r="C93" s="7"/>
      <c r="D93" s="2" t="s">
        <v>75</v>
      </c>
      <c r="E93" s="148">
        <v>0</v>
      </c>
      <c r="F93" s="148">
        <v>0</v>
      </c>
      <c r="G93" s="148">
        <v>0</v>
      </c>
      <c r="H93" s="148">
        <v>0</v>
      </c>
    </row>
    <row r="94" spans="1:8" ht="50.25" customHeight="1" x14ac:dyDescent="0.45">
      <c r="A94" s="7" t="s">
        <v>398</v>
      </c>
      <c r="D94" s="2" t="s">
        <v>76</v>
      </c>
      <c r="E94" s="148">
        <v>0</v>
      </c>
      <c r="F94" s="148">
        <v>1</v>
      </c>
      <c r="G94" s="148">
        <v>1</v>
      </c>
      <c r="H94" s="148">
        <v>1</v>
      </c>
    </row>
    <row r="95" spans="1:8" ht="50.25" customHeight="1" x14ac:dyDescent="0.2">
      <c r="A95" s="7" t="s">
        <v>399</v>
      </c>
      <c r="B95" s="125" t="s">
        <v>869</v>
      </c>
      <c r="C95" s="125" t="s">
        <v>872</v>
      </c>
      <c r="D95" s="2" t="s">
        <v>77</v>
      </c>
      <c r="E95" s="148">
        <v>1</v>
      </c>
      <c r="F95" s="148">
        <v>1</v>
      </c>
      <c r="G95" s="148">
        <v>1</v>
      </c>
      <c r="H95" s="148">
        <v>1.0000000000000009</v>
      </c>
    </row>
    <row r="96" spans="1:8" ht="50.25" customHeight="1" x14ac:dyDescent="0.2">
      <c r="A96" s="7" t="s">
        <v>400</v>
      </c>
      <c r="B96" s="123" t="s">
        <v>802</v>
      </c>
      <c r="C96" s="123" t="s">
        <v>873</v>
      </c>
      <c r="D96" s="2" t="s">
        <v>78</v>
      </c>
      <c r="E96" s="148">
        <v>1</v>
      </c>
      <c r="F96" s="148">
        <v>1</v>
      </c>
      <c r="G96" s="148">
        <v>1</v>
      </c>
      <c r="H96" s="148">
        <v>1.0000000000000009</v>
      </c>
    </row>
    <row r="97" spans="1:8" ht="50.25" customHeight="1" x14ac:dyDescent="0.2">
      <c r="A97" s="7" t="s">
        <v>401</v>
      </c>
      <c r="B97" s="123" t="s">
        <v>756</v>
      </c>
      <c r="C97" s="123" t="s">
        <v>874</v>
      </c>
      <c r="D97" s="2" t="s">
        <v>79</v>
      </c>
      <c r="E97" s="148">
        <v>1</v>
      </c>
      <c r="F97" s="148">
        <v>1</v>
      </c>
      <c r="G97" s="148">
        <v>1</v>
      </c>
      <c r="H97" s="148">
        <v>1.0000000000000009</v>
      </c>
    </row>
    <row r="98" spans="1:8" ht="50.25" customHeight="1" x14ac:dyDescent="0.2">
      <c r="A98" s="10" t="s">
        <v>402</v>
      </c>
      <c r="B98" s="123" t="s">
        <v>802</v>
      </c>
      <c r="C98" s="123" t="s">
        <v>875</v>
      </c>
      <c r="D98" s="2" t="s">
        <v>80</v>
      </c>
      <c r="E98" s="148">
        <v>1</v>
      </c>
      <c r="F98" s="148">
        <v>1</v>
      </c>
      <c r="G98" s="148">
        <v>1</v>
      </c>
      <c r="H98" s="148">
        <v>1</v>
      </c>
    </row>
    <row r="99" spans="1:8" ht="50.25" customHeight="1" x14ac:dyDescent="0.2">
      <c r="A99" s="10" t="s">
        <v>403</v>
      </c>
      <c r="B99" s="7"/>
      <c r="C99" s="7"/>
      <c r="D99" s="2" t="s">
        <v>81</v>
      </c>
      <c r="E99" s="148">
        <v>1</v>
      </c>
      <c r="F99" s="148">
        <v>1</v>
      </c>
      <c r="G99" s="148">
        <v>1</v>
      </c>
      <c r="H99" s="148">
        <v>1.0000000000000009</v>
      </c>
    </row>
    <row r="100" spans="1:8" ht="50.25" customHeight="1" x14ac:dyDescent="0.2">
      <c r="A100" s="7" t="s">
        <v>404</v>
      </c>
      <c r="B100" s="7"/>
      <c r="C100" s="7"/>
      <c r="D100" s="1" t="s">
        <v>82</v>
      </c>
      <c r="E100" s="148">
        <v>0</v>
      </c>
      <c r="F100" s="148">
        <v>0</v>
      </c>
      <c r="G100" s="148">
        <v>0</v>
      </c>
      <c r="H100" s="148">
        <v>0</v>
      </c>
    </row>
    <row r="101" spans="1:8" ht="50.25" customHeight="1" x14ac:dyDescent="0.45">
      <c r="A101" s="7" t="s">
        <v>405</v>
      </c>
      <c r="D101" s="1" t="s">
        <v>83</v>
      </c>
      <c r="E101" s="148">
        <v>1</v>
      </c>
      <c r="F101" s="148">
        <v>1</v>
      </c>
      <c r="G101" s="148">
        <v>1</v>
      </c>
      <c r="H101" s="148">
        <v>1.0000000000000009</v>
      </c>
    </row>
    <row r="102" spans="1:8" ht="50.25" customHeight="1" x14ac:dyDescent="0.2">
      <c r="A102" s="8" t="s">
        <v>406</v>
      </c>
      <c r="B102" s="129" t="s">
        <v>756</v>
      </c>
      <c r="C102" s="129" t="s">
        <v>876</v>
      </c>
      <c r="D102" s="3" t="s">
        <v>84</v>
      </c>
      <c r="E102" s="148">
        <v>1</v>
      </c>
      <c r="F102" s="148">
        <v>1</v>
      </c>
      <c r="G102" s="148">
        <v>1</v>
      </c>
      <c r="H102" s="148">
        <v>1.0000000000000009</v>
      </c>
    </row>
    <row r="103" spans="1:8" ht="50.25" customHeight="1" x14ac:dyDescent="0.2">
      <c r="A103" s="7" t="s">
        <v>407</v>
      </c>
      <c r="B103" s="124" t="s">
        <v>802</v>
      </c>
      <c r="C103" s="124" t="s">
        <v>877</v>
      </c>
      <c r="D103" s="2" t="s">
        <v>85</v>
      </c>
      <c r="E103" s="148">
        <v>1</v>
      </c>
      <c r="F103" s="148">
        <v>1</v>
      </c>
      <c r="G103" s="148">
        <v>1</v>
      </c>
      <c r="H103" s="148">
        <v>1.0000000000000009</v>
      </c>
    </row>
    <row r="104" spans="1:8" ht="50.25" customHeight="1" x14ac:dyDescent="0.2">
      <c r="A104" s="8" t="s">
        <v>408</v>
      </c>
      <c r="B104" s="129" t="s">
        <v>802</v>
      </c>
      <c r="C104" s="129" t="s">
        <v>878</v>
      </c>
      <c r="D104" s="3" t="s">
        <v>86</v>
      </c>
      <c r="E104" s="148">
        <v>1</v>
      </c>
      <c r="F104" s="148">
        <v>1</v>
      </c>
      <c r="G104" s="148">
        <v>1</v>
      </c>
      <c r="H104" s="148">
        <v>1.0000000000000009</v>
      </c>
    </row>
    <row r="105" spans="1:8" ht="50.25" customHeight="1" x14ac:dyDescent="0.2">
      <c r="A105" s="8" t="s">
        <v>409</v>
      </c>
      <c r="B105" s="8"/>
      <c r="C105" s="8"/>
      <c r="D105" s="3" t="s">
        <v>87</v>
      </c>
      <c r="E105" s="148">
        <v>1</v>
      </c>
      <c r="F105" s="148">
        <v>1</v>
      </c>
      <c r="G105" s="148">
        <v>1</v>
      </c>
      <c r="H105" s="148">
        <v>0</v>
      </c>
    </row>
    <row r="106" spans="1:8" ht="50.25" customHeight="1" x14ac:dyDescent="0.2">
      <c r="A106" s="8" t="s">
        <v>410</v>
      </c>
      <c r="B106" s="8"/>
      <c r="C106" s="8"/>
      <c r="D106" s="3" t="s">
        <v>88</v>
      </c>
      <c r="E106" s="148">
        <v>1</v>
      </c>
      <c r="F106" s="148">
        <v>1</v>
      </c>
      <c r="G106" s="148">
        <v>1</v>
      </c>
      <c r="H106" s="148">
        <v>1</v>
      </c>
    </row>
    <row r="107" spans="1:8" ht="50.25" customHeight="1" x14ac:dyDescent="0.2">
      <c r="A107" s="8" t="s">
        <v>411</v>
      </c>
      <c r="B107" s="129" t="s">
        <v>756</v>
      </c>
      <c r="C107" s="129" t="s">
        <v>879</v>
      </c>
      <c r="D107" s="3" t="s">
        <v>89</v>
      </c>
      <c r="E107" s="148">
        <v>1</v>
      </c>
      <c r="F107" s="148">
        <v>1</v>
      </c>
      <c r="G107" s="148">
        <v>1</v>
      </c>
      <c r="H107" s="148">
        <v>1.0000000000000009</v>
      </c>
    </row>
    <row r="108" spans="1:8" ht="50.25" customHeight="1" x14ac:dyDescent="0.2">
      <c r="A108" s="8" t="s">
        <v>412</v>
      </c>
      <c r="B108" s="8"/>
      <c r="C108" s="8"/>
      <c r="D108" s="3" t="s">
        <v>90</v>
      </c>
      <c r="E108" s="148">
        <v>1</v>
      </c>
      <c r="F108" s="148">
        <v>1</v>
      </c>
      <c r="G108" s="148">
        <v>1</v>
      </c>
      <c r="H108" s="148">
        <v>1.0000000000000009</v>
      </c>
    </row>
    <row r="109" spans="1:8" ht="50.25" customHeight="1" x14ac:dyDescent="0.2">
      <c r="A109" s="8" t="s">
        <v>416</v>
      </c>
      <c r="B109" s="129" t="s">
        <v>756</v>
      </c>
      <c r="C109" s="129" t="s">
        <v>880</v>
      </c>
      <c r="D109" s="3" t="s">
        <v>91</v>
      </c>
      <c r="E109" s="148">
        <v>1</v>
      </c>
      <c r="F109" s="148">
        <v>1</v>
      </c>
      <c r="G109" s="148">
        <v>1</v>
      </c>
      <c r="H109" s="148">
        <v>1.0000000000000009</v>
      </c>
    </row>
    <row r="110" spans="1:8" ht="50.25" customHeight="1" x14ac:dyDescent="0.2">
      <c r="A110" s="8" t="s">
        <v>417</v>
      </c>
      <c r="B110" s="8"/>
      <c r="C110" s="8"/>
      <c r="D110" s="3" t="s">
        <v>92</v>
      </c>
      <c r="E110" s="148">
        <v>1</v>
      </c>
      <c r="F110" s="148">
        <v>1</v>
      </c>
      <c r="G110" s="148">
        <v>1</v>
      </c>
      <c r="H110" s="148">
        <v>1.0000000000000009</v>
      </c>
    </row>
    <row r="111" spans="1:8" ht="50.25" customHeight="1" x14ac:dyDescent="0.2">
      <c r="A111" s="8" t="s">
        <v>418</v>
      </c>
      <c r="B111" s="129" t="s">
        <v>802</v>
      </c>
      <c r="C111" s="129" t="s">
        <v>881</v>
      </c>
      <c r="D111" s="3" t="s">
        <v>93</v>
      </c>
      <c r="E111" s="148">
        <v>1</v>
      </c>
      <c r="F111" s="148">
        <v>1</v>
      </c>
      <c r="G111" s="148">
        <v>1</v>
      </c>
      <c r="H111" s="148">
        <v>1.0000000000000009</v>
      </c>
    </row>
    <row r="112" spans="1:8" ht="50.25" customHeight="1" x14ac:dyDescent="0.2">
      <c r="A112" s="8" t="s">
        <v>419</v>
      </c>
      <c r="B112" s="129" t="s">
        <v>802</v>
      </c>
      <c r="C112" s="129" t="s">
        <v>882</v>
      </c>
      <c r="D112" s="3" t="s">
        <v>94</v>
      </c>
      <c r="E112" s="148">
        <v>0</v>
      </c>
      <c r="F112" s="148">
        <v>1</v>
      </c>
      <c r="G112" s="148">
        <v>1</v>
      </c>
      <c r="H112" s="148">
        <v>1.0000000000000009</v>
      </c>
    </row>
    <row r="113" spans="1:8" ht="50.25" customHeight="1" x14ac:dyDescent="0.2">
      <c r="A113" s="8" t="s">
        <v>420</v>
      </c>
      <c r="B113" s="129" t="s">
        <v>802</v>
      </c>
      <c r="C113" s="129" t="s">
        <v>883</v>
      </c>
      <c r="D113" s="3" t="s">
        <v>95</v>
      </c>
      <c r="E113" s="149">
        <v>1</v>
      </c>
      <c r="F113" s="148">
        <v>1</v>
      </c>
      <c r="G113" s="148">
        <v>1</v>
      </c>
      <c r="H113" s="148">
        <v>1.0000000000000009</v>
      </c>
    </row>
    <row r="114" spans="1:8" ht="50.25" customHeight="1" x14ac:dyDescent="0.2">
      <c r="A114" s="8" t="s">
        <v>421</v>
      </c>
      <c r="B114" s="129"/>
      <c r="C114" s="129"/>
      <c r="D114" s="3" t="s">
        <v>96</v>
      </c>
      <c r="E114" s="148">
        <v>1</v>
      </c>
      <c r="F114" s="148">
        <v>1</v>
      </c>
      <c r="G114" s="148">
        <v>1</v>
      </c>
      <c r="H114" s="148">
        <v>1.0000000000000009</v>
      </c>
    </row>
    <row r="115" spans="1:8" ht="50.25" customHeight="1" x14ac:dyDescent="0.2">
      <c r="A115" s="8" t="s">
        <v>422</v>
      </c>
      <c r="B115" s="129"/>
      <c r="C115" s="129"/>
      <c r="D115" s="3" t="s">
        <v>97</v>
      </c>
      <c r="E115" s="148">
        <v>1</v>
      </c>
      <c r="F115" s="148">
        <v>1</v>
      </c>
      <c r="G115" s="148">
        <v>1</v>
      </c>
      <c r="H115" s="148">
        <v>1.0000000000000009</v>
      </c>
    </row>
    <row r="116" spans="1:8" ht="50.25" customHeight="1" x14ac:dyDescent="0.2">
      <c r="A116" s="8" t="s">
        <v>423</v>
      </c>
      <c r="B116" s="129"/>
      <c r="C116" s="129"/>
      <c r="D116" s="3" t="s">
        <v>98</v>
      </c>
      <c r="E116" s="148">
        <v>1</v>
      </c>
      <c r="F116" s="148">
        <v>1</v>
      </c>
      <c r="G116" s="148">
        <v>1</v>
      </c>
      <c r="H116" s="148">
        <v>1.0000000000000009</v>
      </c>
    </row>
    <row r="117" spans="1:8" ht="50.25" customHeight="1" x14ac:dyDescent="0.2">
      <c r="A117" s="8" t="s">
        <v>424</v>
      </c>
      <c r="B117" s="129" t="s">
        <v>756</v>
      </c>
      <c r="C117" s="129" t="s">
        <v>884</v>
      </c>
      <c r="D117" s="3" t="s">
        <v>99</v>
      </c>
      <c r="E117" s="148">
        <v>1</v>
      </c>
      <c r="F117" s="148">
        <v>1</v>
      </c>
      <c r="G117" s="148">
        <v>1</v>
      </c>
      <c r="H117" s="148">
        <v>1.0000000000000009</v>
      </c>
    </row>
    <row r="118" spans="1:8" ht="50.25" customHeight="1" x14ac:dyDescent="0.2">
      <c r="A118" s="8" t="s">
        <v>425</v>
      </c>
      <c r="B118" s="129" t="s">
        <v>756</v>
      </c>
      <c r="C118" s="129" t="s">
        <v>885</v>
      </c>
      <c r="D118" s="3" t="s">
        <v>100</v>
      </c>
      <c r="E118" s="148">
        <v>1</v>
      </c>
      <c r="F118" s="148">
        <v>1</v>
      </c>
      <c r="G118" s="148">
        <v>1</v>
      </c>
      <c r="H118" s="148">
        <v>1.0000000000000009</v>
      </c>
    </row>
    <row r="119" spans="1:8" ht="50.25" customHeight="1" x14ac:dyDescent="0.2">
      <c r="A119" s="143"/>
      <c r="B119" s="168"/>
      <c r="C119" s="168"/>
      <c r="D119" s="144"/>
      <c r="E119" s="144"/>
      <c r="F119" s="144"/>
      <c r="G119" s="144"/>
      <c r="H119" s="144"/>
    </row>
    <row r="120" spans="1:8" ht="50.25" customHeight="1" x14ac:dyDescent="0.45">
      <c r="A120" s="86" t="s">
        <v>101</v>
      </c>
      <c r="D120" s="87"/>
      <c r="E120" s="150"/>
      <c r="F120" s="151"/>
      <c r="G120" s="152"/>
      <c r="H120" s="152"/>
    </row>
    <row r="121" spans="1:8" ht="50.25" customHeight="1" x14ac:dyDescent="0.2">
      <c r="A121" s="7" t="s">
        <v>426</v>
      </c>
      <c r="B121" s="123" t="s">
        <v>802</v>
      </c>
      <c r="C121" s="123" t="s">
        <v>886</v>
      </c>
      <c r="D121" s="2" t="s">
        <v>102</v>
      </c>
      <c r="E121" s="148">
        <v>1</v>
      </c>
      <c r="F121" s="148">
        <v>1</v>
      </c>
      <c r="G121" s="148">
        <v>1</v>
      </c>
      <c r="H121" s="148">
        <v>1.0000000000000009</v>
      </c>
    </row>
    <row r="122" spans="1:8" ht="50.25" customHeight="1" x14ac:dyDescent="0.2">
      <c r="A122" s="7" t="s">
        <v>427</v>
      </c>
      <c r="B122" s="123" t="s">
        <v>756</v>
      </c>
      <c r="C122" s="123" t="s">
        <v>887</v>
      </c>
      <c r="D122" s="2" t="s">
        <v>103</v>
      </c>
      <c r="E122" s="148">
        <v>1</v>
      </c>
      <c r="F122" s="148">
        <v>1</v>
      </c>
      <c r="G122" s="148">
        <v>1</v>
      </c>
      <c r="H122" s="148">
        <v>1.0000000000000009</v>
      </c>
    </row>
    <row r="123" spans="1:8" ht="50.25" customHeight="1" x14ac:dyDescent="0.2">
      <c r="A123" s="7" t="s">
        <v>428</v>
      </c>
      <c r="B123" s="123" t="s">
        <v>756</v>
      </c>
      <c r="C123" s="123" t="s">
        <v>888</v>
      </c>
      <c r="D123" s="2" t="s">
        <v>104</v>
      </c>
      <c r="E123" s="148">
        <v>0.64</v>
      </c>
      <c r="F123" s="148">
        <v>1</v>
      </c>
      <c r="G123" s="148">
        <v>0.83</v>
      </c>
      <c r="H123" s="148">
        <v>1</v>
      </c>
    </row>
    <row r="124" spans="1:8" ht="50.25" customHeight="1" x14ac:dyDescent="0.2">
      <c r="A124" s="8" t="s">
        <v>429</v>
      </c>
      <c r="B124" s="129" t="s">
        <v>889</v>
      </c>
      <c r="C124" s="129" t="s">
        <v>890</v>
      </c>
      <c r="D124" s="3" t="s">
        <v>105</v>
      </c>
      <c r="E124" s="148">
        <v>1</v>
      </c>
      <c r="F124" s="148">
        <v>0</v>
      </c>
      <c r="G124" s="148">
        <v>1</v>
      </c>
      <c r="H124" s="148">
        <v>1.0000000000000009</v>
      </c>
    </row>
    <row r="125" spans="1:8" ht="50.25" customHeight="1" x14ac:dyDescent="0.2">
      <c r="A125" s="7" t="s">
        <v>430</v>
      </c>
      <c r="B125" s="125" t="s">
        <v>802</v>
      </c>
      <c r="C125" s="125" t="s">
        <v>891</v>
      </c>
      <c r="D125" s="2" t="s">
        <v>106</v>
      </c>
      <c r="E125" s="148">
        <v>1</v>
      </c>
      <c r="F125" s="148">
        <v>1</v>
      </c>
      <c r="G125" s="148">
        <v>1</v>
      </c>
      <c r="H125" s="148">
        <v>1</v>
      </c>
    </row>
    <row r="126" spans="1:8" ht="50.25" customHeight="1" x14ac:dyDescent="0.2">
      <c r="A126" s="7" t="s">
        <v>431</v>
      </c>
      <c r="B126" s="124" t="s">
        <v>756</v>
      </c>
      <c r="C126" s="124" t="s">
        <v>892</v>
      </c>
      <c r="D126" s="2" t="s">
        <v>107</v>
      </c>
      <c r="E126" s="148">
        <v>1</v>
      </c>
      <c r="F126" s="148">
        <v>1</v>
      </c>
      <c r="G126" s="148">
        <v>1</v>
      </c>
      <c r="H126" s="148">
        <v>1</v>
      </c>
    </row>
    <row r="127" spans="1:8" ht="50.25" customHeight="1" x14ac:dyDescent="0.2">
      <c r="A127" s="8" t="s">
        <v>432</v>
      </c>
      <c r="B127" s="129" t="s">
        <v>889</v>
      </c>
      <c r="C127" s="129" t="s">
        <v>893</v>
      </c>
      <c r="D127" s="3" t="s">
        <v>108</v>
      </c>
      <c r="E127" s="148">
        <v>1</v>
      </c>
      <c r="F127" s="148">
        <v>1</v>
      </c>
      <c r="G127" s="148">
        <v>1</v>
      </c>
      <c r="H127" s="148">
        <v>1.0000000000000009</v>
      </c>
    </row>
    <row r="128" spans="1:8" ht="50.25" customHeight="1" x14ac:dyDescent="0.2">
      <c r="A128" s="8" t="s">
        <v>433</v>
      </c>
      <c r="B128" s="129" t="s">
        <v>802</v>
      </c>
      <c r="C128" s="129" t="s">
        <v>894</v>
      </c>
      <c r="D128" s="3" t="s">
        <v>109</v>
      </c>
      <c r="E128" s="148">
        <v>1</v>
      </c>
      <c r="F128" s="148">
        <v>0.92</v>
      </c>
      <c r="G128" s="145">
        <v>0</v>
      </c>
      <c r="H128" s="145">
        <v>0</v>
      </c>
    </row>
    <row r="129" spans="1:8" ht="50.25" customHeight="1" x14ac:dyDescent="0.2">
      <c r="A129" s="8" t="s">
        <v>434</v>
      </c>
      <c r="B129" s="129" t="s">
        <v>802</v>
      </c>
      <c r="C129" s="169" t="s">
        <v>895</v>
      </c>
      <c r="D129" s="3" t="s">
        <v>110</v>
      </c>
      <c r="E129" s="148">
        <v>1</v>
      </c>
      <c r="F129" s="148">
        <v>1</v>
      </c>
      <c r="G129" s="148">
        <v>1</v>
      </c>
      <c r="H129" s="148">
        <v>1</v>
      </c>
    </row>
    <row r="130" spans="1:8" ht="50.25" customHeight="1" x14ac:dyDescent="0.2">
      <c r="A130" s="10" t="s">
        <v>435</v>
      </c>
      <c r="B130" s="165" t="s">
        <v>802</v>
      </c>
      <c r="C130" s="165" t="s">
        <v>896</v>
      </c>
      <c r="D130" s="6" t="s">
        <v>111</v>
      </c>
      <c r="E130" s="148">
        <v>1</v>
      </c>
      <c r="F130" s="148">
        <v>1</v>
      </c>
      <c r="G130" s="148">
        <v>1</v>
      </c>
      <c r="H130" s="148">
        <v>1.0000000000000009</v>
      </c>
    </row>
    <row r="131" spans="1:8" ht="50.25" customHeight="1" x14ac:dyDescent="0.2">
      <c r="A131" s="10" t="s">
        <v>436</v>
      </c>
      <c r="B131" s="165" t="s">
        <v>756</v>
      </c>
      <c r="C131" s="165" t="s">
        <v>897</v>
      </c>
      <c r="D131" s="6" t="s">
        <v>112</v>
      </c>
      <c r="E131" s="148">
        <v>1</v>
      </c>
      <c r="F131" s="148">
        <v>1</v>
      </c>
      <c r="G131" s="148">
        <v>1</v>
      </c>
      <c r="H131" s="148">
        <v>1.0000000000000009</v>
      </c>
    </row>
    <row r="132" spans="1:8" ht="50.25" customHeight="1" x14ac:dyDescent="0.2">
      <c r="A132" s="10" t="s">
        <v>437</v>
      </c>
      <c r="B132" s="165" t="s">
        <v>802</v>
      </c>
      <c r="C132" s="165" t="s">
        <v>898</v>
      </c>
      <c r="D132" s="6" t="s">
        <v>113</v>
      </c>
      <c r="E132" s="148">
        <v>1</v>
      </c>
      <c r="F132" s="148">
        <v>1</v>
      </c>
      <c r="G132" s="148">
        <v>1</v>
      </c>
      <c r="H132" s="148">
        <v>1.0000000000000009</v>
      </c>
    </row>
    <row r="133" spans="1:8" ht="50.25" customHeight="1" x14ac:dyDescent="0.2">
      <c r="A133" s="10" t="s">
        <v>438</v>
      </c>
      <c r="B133" s="165" t="s">
        <v>802</v>
      </c>
      <c r="C133" s="165" t="s">
        <v>899</v>
      </c>
      <c r="D133" s="6" t="s">
        <v>114</v>
      </c>
      <c r="E133" s="148">
        <v>1</v>
      </c>
      <c r="F133" s="148">
        <v>0</v>
      </c>
      <c r="G133" s="148">
        <v>1</v>
      </c>
      <c r="H133" s="148">
        <v>1.0000000000000009</v>
      </c>
    </row>
    <row r="134" spans="1:8" ht="50.25" customHeight="1" x14ac:dyDescent="0.2">
      <c r="A134" s="8" t="s">
        <v>439</v>
      </c>
      <c r="B134" s="127" t="s">
        <v>802</v>
      </c>
      <c r="C134" s="127" t="s">
        <v>900</v>
      </c>
      <c r="D134" s="3" t="s">
        <v>115</v>
      </c>
      <c r="E134" s="148">
        <v>1</v>
      </c>
      <c r="F134" s="148">
        <v>0</v>
      </c>
      <c r="G134" s="148">
        <v>0</v>
      </c>
      <c r="H134" s="148">
        <v>0</v>
      </c>
    </row>
    <row r="135" spans="1:8" ht="50.25" customHeight="1" x14ac:dyDescent="0.2">
      <c r="A135" s="8" t="s">
        <v>440</v>
      </c>
      <c r="B135" s="129" t="s">
        <v>802</v>
      </c>
      <c r="C135" s="129" t="s">
        <v>901</v>
      </c>
      <c r="D135" s="3" t="s">
        <v>116</v>
      </c>
      <c r="E135" s="148">
        <v>1</v>
      </c>
      <c r="F135" s="148">
        <v>1</v>
      </c>
      <c r="G135" s="148">
        <v>1</v>
      </c>
      <c r="H135" s="148">
        <v>1.0000000000000009</v>
      </c>
    </row>
    <row r="136" spans="1:8" ht="50.25" customHeight="1" x14ac:dyDescent="0.2">
      <c r="A136" s="8" t="s">
        <v>441</v>
      </c>
      <c r="B136" s="129" t="s">
        <v>756</v>
      </c>
      <c r="C136" s="129" t="s">
        <v>902</v>
      </c>
      <c r="D136" s="3" t="s">
        <v>117</v>
      </c>
      <c r="E136" s="148">
        <v>1</v>
      </c>
      <c r="F136" s="148">
        <v>1</v>
      </c>
      <c r="G136" s="148">
        <v>1</v>
      </c>
      <c r="H136" s="148">
        <v>0</v>
      </c>
    </row>
    <row r="137" spans="1:8" ht="50.25" customHeight="1" x14ac:dyDescent="0.2">
      <c r="A137" s="8" t="s">
        <v>442</v>
      </c>
      <c r="B137" s="127" t="s">
        <v>756</v>
      </c>
      <c r="C137" s="127" t="s">
        <v>903</v>
      </c>
      <c r="D137" s="3" t="s">
        <v>118</v>
      </c>
      <c r="E137" s="148">
        <v>1</v>
      </c>
      <c r="F137" s="148">
        <v>1</v>
      </c>
      <c r="G137" s="148">
        <v>1</v>
      </c>
      <c r="H137" s="148">
        <v>1.0000000000000009</v>
      </c>
    </row>
    <row r="138" spans="1:8" ht="50.25" customHeight="1" x14ac:dyDescent="0.2">
      <c r="A138" s="7" t="s">
        <v>443</v>
      </c>
      <c r="B138" s="124" t="s">
        <v>756</v>
      </c>
      <c r="C138" s="124" t="s">
        <v>904</v>
      </c>
      <c r="D138" s="2" t="s">
        <v>119</v>
      </c>
      <c r="E138" s="148">
        <v>1</v>
      </c>
      <c r="F138" s="148">
        <v>1</v>
      </c>
      <c r="G138" s="148">
        <v>0</v>
      </c>
      <c r="H138" s="149">
        <v>1</v>
      </c>
    </row>
    <row r="139" spans="1:8" ht="50.25" customHeight="1" x14ac:dyDescent="0.2">
      <c r="A139" s="8" t="s">
        <v>444</v>
      </c>
      <c r="B139" s="129" t="s">
        <v>802</v>
      </c>
      <c r="C139" s="129" t="s">
        <v>905</v>
      </c>
      <c r="D139" s="3" t="s">
        <v>120</v>
      </c>
      <c r="E139" s="148">
        <v>1</v>
      </c>
      <c r="F139" s="148">
        <v>1</v>
      </c>
      <c r="G139" s="148">
        <v>1</v>
      </c>
      <c r="H139" s="148">
        <v>1.0000000000000009</v>
      </c>
    </row>
    <row r="140" spans="1:8" ht="50.25" customHeight="1" x14ac:dyDescent="0.2">
      <c r="A140" s="8" t="s">
        <v>445</v>
      </c>
      <c r="B140" s="129" t="s">
        <v>802</v>
      </c>
      <c r="C140" s="129" t="s">
        <v>906</v>
      </c>
      <c r="D140" s="3" t="s">
        <v>121</v>
      </c>
      <c r="E140" s="148">
        <v>1</v>
      </c>
      <c r="F140" s="148">
        <v>1</v>
      </c>
      <c r="G140" s="148">
        <v>1</v>
      </c>
      <c r="H140" s="148">
        <v>1.0000000000000009</v>
      </c>
    </row>
    <row r="141" spans="1:8" ht="50.25" customHeight="1" x14ac:dyDescent="0.2">
      <c r="A141" s="8" t="s">
        <v>446</v>
      </c>
      <c r="B141" s="129" t="s">
        <v>802</v>
      </c>
      <c r="C141" s="129" t="s">
        <v>907</v>
      </c>
      <c r="D141" s="3" t="s">
        <v>122</v>
      </c>
      <c r="E141" s="148">
        <v>1</v>
      </c>
      <c r="F141" s="148">
        <v>1</v>
      </c>
      <c r="G141" s="148">
        <v>0.85</v>
      </c>
      <c r="H141" s="148">
        <v>1.0000000000000009</v>
      </c>
    </row>
    <row r="142" spans="1:8" ht="50.25" customHeight="1" x14ac:dyDescent="0.2">
      <c r="A142" s="7" t="s">
        <v>447</v>
      </c>
      <c r="B142" s="124" t="s">
        <v>802</v>
      </c>
      <c r="C142" s="124" t="s">
        <v>908</v>
      </c>
      <c r="D142" s="1" t="s">
        <v>123</v>
      </c>
      <c r="E142" s="148">
        <v>1</v>
      </c>
      <c r="F142" s="148">
        <v>0</v>
      </c>
      <c r="G142" s="148">
        <v>1</v>
      </c>
      <c r="H142" s="148">
        <v>1.0000000000000009</v>
      </c>
    </row>
    <row r="143" spans="1:8" ht="50.25" customHeight="1" x14ac:dyDescent="0.2">
      <c r="A143" s="8" t="s">
        <v>448</v>
      </c>
      <c r="B143" s="127" t="s">
        <v>756</v>
      </c>
      <c r="C143" s="127" t="s">
        <v>909</v>
      </c>
      <c r="D143" s="3" t="s">
        <v>124</v>
      </c>
      <c r="E143" s="148">
        <v>1</v>
      </c>
      <c r="F143" s="148">
        <v>1</v>
      </c>
      <c r="G143" s="148">
        <v>1</v>
      </c>
      <c r="H143" s="148">
        <v>1.0000000000000009</v>
      </c>
    </row>
    <row r="144" spans="1:8" ht="50.25" customHeight="1" x14ac:dyDescent="0.2">
      <c r="A144" s="8" t="s">
        <v>449</v>
      </c>
      <c r="B144" s="129" t="s">
        <v>802</v>
      </c>
      <c r="C144" s="129" t="s">
        <v>910</v>
      </c>
      <c r="D144" s="3" t="s">
        <v>125</v>
      </c>
      <c r="E144" s="148">
        <v>1</v>
      </c>
      <c r="F144" s="148">
        <v>1</v>
      </c>
      <c r="G144" s="148">
        <v>1</v>
      </c>
      <c r="H144" s="148">
        <v>1.0000000000000009</v>
      </c>
    </row>
    <row r="145" spans="1:8" ht="50.25" customHeight="1" x14ac:dyDescent="0.2">
      <c r="A145" s="8" t="s">
        <v>450</v>
      </c>
      <c r="B145" s="129" t="s">
        <v>756</v>
      </c>
      <c r="C145" s="129" t="s">
        <v>911</v>
      </c>
      <c r="D145" s="3" t="s">
        <v>126</v>
      </c>
      <c r="E145" s="148">
        <v>1</v>
      </c>
      <c r="F145" s="148">
        <v>1</v>
      </c>
      <c r="G145" s="148">
        <v>1</v>
      </c>
      <c r="H145" s="148">
        <v>0</v>
      </c>
    </row>
    <row r="146" spans="1:8" ht="50.25" customHeight="1" x14ac:dyDescent="0.2">
      <c r="A146" s="143"/>
      <c r="B146" s="162"/>
      <c r="C146" s="162"/>
      <c r="D146" s="144"/>
      <c r="E146" s="148"/>
      <c r="F146" s="148"/>
      <c r="G146" s="148"/>
      <c r="H146" s="148"/>
    </row>
    <row r="147" spans="1:8" ht="50.25" customHeight="1" x14ac:dyDescent="0.2">
      <c r="A147" s="11" t="s">
        <v>127</v>
      </c>
      <c r="B147" s="35"/>
      <c r="C147" s="35"/>
      <c r="D147" s="5"/>
      <c r="E147" s="150"/>
      <c r="F147" s="151"/>
      <c r="G147" s="152"/>
      <c r="H147" s="152"/>
    </row>
    <row r="148" spans="1:8" ht="50.25" customHeight="1" x14ac:dyDescent="0.2">
      <c r="A148" s="7" t="s">
        <v>451</v>
      </c>
      <c r="B148" s="125" t="s">
        <v>756</v>
      </c>
      <c r="C148" s="125" t="s">
        <v>912</v>
      </c>
      <c r="D148" s="2" t="s">
        <v>128</v>
      </c>
      <c r="E148" s="148">
        <v>1</v>
      </c>
      <c r="F148" s="148">
        <v>1</v>
      </c>
      <c r="G148" s="148">
        <v>1</v>
      </c>
      <c r="H148" s="148">
        <v>1.0000000000000009</v>
      </c>
    </row>
    <row r="149" spans="1:8" ht="50.25" customHeight="1" x14ac:dyDescent="0.2">
      <c r="A149" s="8" t="s">
        <v>636</v>
      </c>
      <c r="B149" s="129" t="s">
        <v>802</v>
      </c>
      <c r="C149" s="129" t="s">
        <v>913</v>
      </c>
      <c r="D149" s="3" t="s">
        <v>129</v>
      </c>
      <c r="E149" s="148">
        <v>1</v>
      </c>
      <c r="F149" s="148">
        <v>1</v>
      </c>
      <c r="G149" s="148">
        <v>1</v>
      </c>
      <c r="H149" s="148">
        <v>1</v>
      </c>
    </row>
    <row r="150" spans="1:8" ht="50.25" customHeight="1" x14ac:dyDescent="0.2">
      <c r="A150" s="7" t="s">
        <v>452</v>
      </c>
      <c r="B150" s="125" t="s">
        <v>802</v>
      </c>
      <c r="C150" s="125" t="s">
        <v>914</v>
      </c>
      <c r="D150" s="2" t="s">
        <v>130</v>
      </c>
      <c r="E150" s="148">
        <v>0</v>
      </c>
      <c r="F150" s="148">
        <v>0</v>
      </c>
      <c r="G150" s="148">
        <v>0</v>
      </c>
      <c r="H150" s="148">
        <v>0</v>
      </c>
    </row>
    <row r="151" spans="1:8" ht="50.25" customHeight="1" x14ac:dyDescent="0.2">
      <c r="A151" s="143"/>
      <c r="B151" s="162"/>
      <c r="C151" s="162"/>
      <c r="D151" s="144"/>
      <c r="E151" s="148"/>
      <c r="F151" s="148"/>
      <c r="G151" s="148"/>
      <c r="H151" s="148"/>
    </row>
    <row r="152" spans="1:8" ht="50.25" customHeight="1" x14ac:dyDescent="0.2">
      <c r="A152" s="8" t="s">
        <v>453</v>
      </c>
      <c r="B152" s="129" t="s">
        <v>802</v>
      </c>
      <c r="C152" s="129" t="s">
        <v>915</v>
      </c>
      <c r="D152" s="3" t="s">
        <v>132</v>
      </c>
      <c r="E152" s="145">
        <v>0</v>
      </c>
      <c r="F152" s="145">
        <v>0</v>
      </c>
      <c r="G152" s="145">
        <v>0</v>
      </c>
      <c r="H152" s="145">
        <v>0</v>
      </c>
    </row>
    <row r="153" spans="1:8" ht="50.25" customHeight="1" x14ac:dyDescent="0.2">
      <c r="A153" s="8" t="s">
        <v>454</v>
      </c>
      <c r="B153" s="129" t="s">
        <v>802</v>
      </c>
      <c r="C153" s="129" t="s">
        <v>916</v>
      </c>
      <c r="D153" s="3" t="s">
        <v>133</v>
      </c>
      <c r="E153" s="148">
        <v>1</v>
      </c>
      <c r="F153" s="148">
        <v>0</v>
      </c>
      <c r="G153" s="148">
        <v>0</v>
      </c>
      <c r="H153" s="148">
        <v>1</v>
      </c>
    </row>
    <row r="154" spans="1:8" ht="50.25" customHeight="1" x14ac:dyDescent="0.2">
      <c r="A154" s="8" t="s">
        <v>456</v>
      </c>
      <c r="B154" s="129" t="s">
        <v>802</v>
      </c>
      <c r="C154" s="129" t="s">
        <v>917</v>
      </c>
      <c r="D154" s="3" t="s">
        <v>135</v>
      </c>
      <c r="E154" s="148">
        <v>1</v>
      </c>
      <c r="F154" s="148">
        <v>1</v>
      </c>
      <c r="G154" s="148">
        <v>1</v>
      </c>
      <c r="H154" s="148">
        <v>1</v>
      </c>
    </row>
    <row r="155" spans="1:8" ht="50.25" customHeight="1" x14ac:dyDescent="0.2">
      <c r="A155" s="143"/>
      <c r="B155" s="162"/>
      <c r="C155" s="162"/>
      <c r="D155" s="144"/>
      <c r="E155" s="148"/>
      <c r="F155" s="148"/>
      <c r="G155" s="148"/>
      <c r="H155" s="148"/>
    </row>
    <row r="156" spans="1:8" ht="50.25" customHeight="1" x14ac:dyDescent="0.2">
      <c r="A156" s="8" t="s">
        <v>457</v>
      </c>
      <c r="B156" s="8"/>
      <c r="C156" s="8"/>
      <c r="D156" s="3"/>
      <c r="E156" s="148"/>
      <c r="F156" s="148"/>
      <c r="G156" s="148"/>
      <c r="H156" s="148"/>
    </row>
    <row r="157" spans="1:8" ht="50.25" customHeight="1" x14ac:dyDescent="0.2">
      <c r="A157" s="7" t="s">
        <v>458</v>
      </c>
      <c r="B157" s="170" t="s">
        <v>802</v>
      </c>
      <c r="C157" s="170" t="s">
        <v>918</v>
      </c>
      <c r="D157" s="2" t="s">
        <v>136</v>
      </c>
      <c r="E157" s="148">
        <v>1</v>
      </c>
      <c r="F157" s="148">
        <v>1</v>
      </c>
      <c r="G157" s="148">
        <v>1</v>
      </c>
      <c r="H157" s="148">
        <v>1</v>
      </c>
    </row>
    <row r="158" spans="1:8" ht="50.25" customHeight="1" x14ac:dyDescent="0.2">
      <c r="A158" s="8" t="s">
        <v>459</v>
      </c>
      <c r="B158" s="129" t="s">
        <v>756</v>
      </c>
      <c r="C158" s="129" t="s">
        <v>919</v>
      </c>
      <c r="D158" s="3" t="s">
        <v>137</v>
      </c>
      <c r="E158" s="148">
        <v>0</v>
      </c>
      <c r="F158" s="148">
        <v>0</v>
      </c>
      <c r="G158" s="148">
        <v>0</v>
      </c>
      <c r="H158" s="148">
        <v>1</v>
      </c>
    </row>
    <row r="159" spans="1:8" ht="50.25" customHeight="1" x14ac:dyDescent="0.2">
      <c r="A159" s="143"/>
      <c r="B159" s="162"/>
      <c r="C159" s="162"/>
      <c r="D159" s="144"/>
      <c r="E159" s="148"/>
      <c r="F159" s="148"/>
      <c r="G159" s="148"/>
      <c r="H159" s="148"/>
    </row>
    <row r="160" spans="1:8" ht="50.25" customHeight="1" x14ac:dyDescent="0.2">
      <c r="A160" s="7" t="s">
        <v>460</v>
      </c>
      <c r="B160" s="124" t="s">
        <v>756</v>
      </c>
      <c r="C160" s="124" t="s">
        <v>920</v>
      </c>
      <c r="D160" s="2" t="s">
        <v>139</v>
      </c>
      <c r="E160" s="148">
        <v>0.96</v>
      </c>
      <c r="F160" s="148">
        <v>0.93</v>
      </c>
      <c r="G160" s="148">
        <v>0.9</v>
      </c>
      <c r="H160" s="148">
        <v>0.97</v>
      </c>
    </row>
    <row r="161" spans="1:8" ht="50.25" customHeight="1" x14ac:dyDescent="0.2">
      <c r="A161" s="7" t="s">
        <v>461</v>
      </c>
      <c r="B161" s="123" t="s">
        <v>802</v>
      </c>
      <c r="C161" s="123" t="s">
        <v>921</v>
      </c>
      <c r="D161" s="2" t="s">
        <v>140</v>
      </c>
      <c r="E161" s="148">
        <v>1</v>
      </c>
      <c r="F161" s="148">
        <v>1</v>
      </c>
      <c r="G161" s="148">
        <v>1</v>
      </c>
      <c r="H161" s="148">
        <v>1.0000000000000009</v>
      </c>
    </row>
    <row r="162" spans="1:8" ht="50.25" customHeight="1" x14ac:dyDescent="0.2">
      <c r="A162" s="116" t="s">
        <v>500</v>
      </c>
      <c r="B162" s="124" t="s">
        <v>756</v>
      </c>
      <c r="C162" s="123" t="s">
        <v>922</v>
      </c>
      <c r="D162" s="117" t="s">
        <v>658</v>
      </c>
      <c r="E162" s="148">
        <v>0.69</v>
      </c>
      <c r="F162" s="148">
        <v>0</v>
      </c>
      <c r="G162" s="148">
        <v>0</v>
      </c>
      <c r="H162" s="148">
        <v>0</v>
      </c>
    </row>
    <row r="163" spans="1:8" ht="50.25" customHeight="1" x14ac:dyDescent="0.2">
      <c r="A163" s="8" t="s">
        <v>462</v>
      </c>
      <c r="B163" s="129" t="s">
        <v>802</v>
      </c>
      <c r="C163" s="129" t="s">
        <v>923</v>
      </c>
      <c r="D163" s="3" t="s">
        <v>141</v>
      </c>
      <c r="E163" s="148">
        <v>1</v>
      </c>
      <c r="F163" s="148">
        <v>1</v>
      </c>
      <c r="G163" s="148">
        <v>1</v>
      </c>
      <c r="H163" s="148">
        <v>1.0000000000000009</v>
      </c>
    </row>
    <row r="164" spans="1:8" ht="50.25" customHeight="1" x14ac:dyDescent="0.2">
      <c r="A164" s="143"/>
      <c r="B164" s="162"/>
      <c r="C164" s="162"/>
      <c r="D164" s="144"/>
      <c r="E164" s="148"/>
      <c r="F164" s="148"/>
      <c r="G164" s="148"/>
      <c r="H164" s="148"/>
    </row>
    <row r="165" spans="1:8" ht="50.25" customHeight="1" x14ac:dyDescent="0.2">
      <c r="A165" s="7" t="s">
        <v>463</v>
      </c>
      <c r="B165" s="124" t="s">
        <v>802</v>
      </c>
      <c r="C165" s="124" t="s">
        <v>924</v>
      </c>
      <c r="D165" s="2" t="s">
        <v>142</v>
      </c>
      <c r="E165" s="148">
        <v>1</v>
      </c>
      <c r="F165" s="148">
        <v>1</v>
      </c>
      <c r="G165" s="148">
        <v>1</v>
      </c>
      <c r="H165" s="148">
        <v>1</v>
      </c>
    </row>
    <row r="166" spans="1:8" ht="50.25" customHeight="1" x14ac:dyDescent="0.2">
      <c r="A166" s="7" t="s">
        <v>464</v>
      </c>
      <c r="B166" s="123" t="s">
        <v>756</v>
      </c>
      <c r="C166" s="123" t="s">
        <v>925</v>
      </c>
      <c r="D166" s="2" t="s">
        <v>143</v>
      </c>
      <c r="E166" s="148">
        <v>1</v>
      </c>
      <c r="F166" s="148">
        <v>1</v>
      </c>
      <c r="G166" s="148">
        <v>1</v>
      </c>
      <c r="H166" s="148">
        <v>1</v>
      </c>
    </row>
    <row r="167" spans="1:8" ht="50.25" customHeight="1" x14ac:dyDescent="0.2">
      <c r="A167" s="143"/>
      <c r="B167" s="162"/>
      <c r="C167" s="162"/>
      <c r="D167" s="144"/>
      <c r="E167" s="148"/>
      <c r="F167" s="148"/>
      <c r="G167" s="148"/>
      <c r="H167" s="148"/>
    </row>
    <row r="168" spans="1:8" ht="50.25" customHeight="1" x14ac:dyDescent="0.2">
      <c r="A168" s="7" t="s">
        <v>465</v>
      </c>
      <c r="B168" s="123" t="s">
        <v>756</v>
      </c>
      <c r="C168" s="123" t="s">
        <v>926</v>
      </c>
      <c r="D168" s="2" t="s">
        <v>144</v>
      </c>
      <c r="E168" s="148">
        <v>0</v>
      </c>
      <c r="F168" s="148">
        <v>1</v>
      </c>
      <c r="G168" s="148">
        <v>1</v>
      </c>
      <c r="H168" s="148">
        <v>1.0000000000000009</v>
      </c>
    </row>
    <row r="169" spans="1:8" ht="50.25" customHeight="1" x14ac:dyDescent="0.2">
      <c r="A169" s="7" t="s">
        <v>466</v>
      </c>
      <c r="B169" s="7"/>
      <c r="C169" s="7"/>
      <c r="D169" s="2" t="s">
        <v>145</v>
      </c>
      <c r="E169" s="148">
        <v>1</v>
      </c>
      <c r="F169" s="148">
        <v>1</v>
      </c>
      <c r="G169" s="148">
        <v>1</v>
      </c>
      <c r="H169" s="148">
        <v>1</v>
      </c>
    </row>
    <row r="170" spans="1:8" ht="50.25" customHeight="1" x14ac:dyDescent="0.2">
      <c r="A170" s="143"/>
      <c r="B170" s="162"/>
      <c r="C170" s="162"/>
      <c r="D170" s="144"/>
      <c r="E170" s="148"/>
      <c r="F170" s="148"/>
      <c r="G170" s="148"/>
      <c r="H170" s="148"/>
    </row>
    <row r="171" spans="1:8" ht="50.25" customHeight="1" x14ac:dyDescent="0.2">
      <c r="A171" s="10" t="s">
        <v>467</v>
      </c>
      <c r="B171" s="165" t="s">
        <v>756</v>
      </c>
      <c r="C171" s="165" t="s">
        <v>927</v>
      </c>
      <c r="D171" s="6" t="s">
        <v>146</v>
      </c>
      <c r="E171" s="145">
        <v>0</v>
      </c>
      <c r="F171" s="145">
        <v>0</v>
      </c>
      <c r="G171" s="145">
        <v>0</v>
      </c>
      <c r="H171" s="145">
        <v>0</v>
      </c>
    </row>
    <row r="172" spans="1:8" ht="50.25" customHeight="1" x14ac:dyDescent="0.2">
      <c r="A172" s="8" t="s">
        <v>468</v>
      </c>
      <c r="B172" s="129" t="s">
        <v>802</v>
      </c>
      <c r="C172" s="129" t="s">
        <v>928</v>
      </c>
      <c r="D172" s="3" t="s">
        <v>147</v>
      </c>
      <c r="E172" s="148">
        <v>1</v>
      </c>
      <c r="F172" s="148">
        <v>0.9</v>
      </c>
      <c r="G172" s="148">
        <v>0.71</v>
      </c>
      <c r="H172" s="148">
        <v>0.73</v>
      </c>
    </row>
    <row r="173" spans="1:8" ht="50.25" customHeight="1" x14ac:dyDescent="0.2">
      <c r="A173" s="143"/>
      <c r="B173" s="162"/>
      <c r="C173" s="162"/>
      <c r="D173" s="144"/>
      <c r="E173" s="148"/>
      <c r="F173" s="148"/>
      <c r="G173" s="148"/>
      <c r="H173" s="148"/>
    </row>
    <row r="174" spans="1:8" ht="50.25" customHeight="1" x14ac:dyDescent="0.2">
      <c r="A174" s="11" t="s">
        <v>150</v>
      </c>
      <c r="B174" s="35"/>
      <c r="C174" s="35"/>
      <c r="D174" s="5"/>
      <c r="E174" s="150"/>
      <c r="F174" s="151"/>
      <c r="G174" s="152"/>
      <c r="H174" s="152"/>
    </row>
    <row r="175" spans="1:8" ht="50.25" customHeight="1" x14ac:dyDescent="0.2">
      <c r="A175" s="7" t="s">
        <v>470</v>
      </c>
      <c r="B175" s="124" t="s">
        <v>756</v>
      </c>
      <c r="C175" s="124" t="s">
        <v>929</v>
      </c>
      <c r="D175" s="2" t="s">
        <v>151</v>
      </c>
      <c r="E175" s="148">
        <v>1</v>
      </c>
      <c r="F175" s="148">
        <v>1</v>
      </c>
      <c r="G175" s="148">
        <v>0</v>
      </c>
      <c r="H175" s="148">
        <v>0</v>
      </c>
    </row>
    <row r="176" spans="1:8" ht="50.25" customHeight="1" x14ac:dyDescent="0.2">
      <c r="A176" s="7" t="s">
        <v>471</v>
      </c>
      <c r="B176" s="170" t="s">
        <v>756</v>
      </c>
      <c r="C176" s="170" t="s">
        <v>930</v>
      </c>
      <c r="D176" s="2" t="s">
        <v>152</v>
      </c>
      <c r="E176" s="148">
        <v>1</v>
      </c>
      <c r="F176" s="148">
        <v>0</v>
      </c>
      <c r="G176" s="148">
        <v>1</v>
      </c>
      <c r="H176" s="148">
        <v>1</v>
      </c>
    </row>
    <row r="177" spans="1:8" ht="50.25" customHeight="1" x14ac:dyDescent="0.2">
      <c r="A177" s="7" t="s">
        <v>472</v>
      </c>
      <c r="B177" s="170" t="s">
        <v>802</v>
      </c>
      <c r="C177" s="170" t="s">
        <v>931</v>
      </c>
      <c r="D177" s="2" t="s">
        <v>153</v>
      </c>
      <c r="E177" s="148">
        <v>1</v>
      </c>
      <c r="F177" s="148">
        <v>1</v>
      </c>
      <c r="G177" s="148">
        <v>1</v>
      </c>
      <c r="H177" s="148">
        <v>1</v>
      </c>
    </row>
    <row r="178" spans="1:8" ht="50.25" customHeight="1" x14ac:dyDescent="0.2">
      <c r="A178" s="8" t="s">
        <v>473</v>
      </c>
      <c r="B178" s="129" t="s">
        <v>802</v>
      </c>
      <c r="C178" s="129" t="s">
        <v>932</v>
      </c>
      <c r="D178" s="3" t="s">
        <v>154</v>
      </c>
      <c r="E178" s="148">
        <v>1</v>
      </c>
      <c r="F178" s="148">
        <v>1</v>
      </c>
      <c r="G178" s="148">
        <v>1</v>
      </c>
      <c r="H178" s="148">
        <v>1.0000000000000009</v>
      </c>
    </row>
    <row r="179" spans="1:8" ht="50.25" customHeight="1" x14ac:dyDescent="0.2">
      <c r="A179" s="143"/>
      <c r="B179" s="162"/>
      <c r="C179" s="162"/>
      <c r="D179" s="144"/>
      <c r="E179" s="148"/>
      <c r="F179" s="148"/>
      <c r="G179" s="148"/>
      <c r="H179" s="148"/>
    </row>
    <row r="180" spans="1:8" ht="50.25" customHeight="1" x14ac:dyDescent="0.45">
      <c r="A180" s="86" t="s">
        <v>155</v>
      </c>
      <c r="D180" s="87"/>
      <c r="E180" s="150"/>
      <c r="F180" s="151"/>
      <c r="G180" s="152"/>
      <c r="H180" s="152"/>
    </row>
    <row r="181" spans="1:8" ht="50.25" customHeight="1" x14ac:dyDescent="0.2">
      <c r="A181" s="7" t="s">
        <v>474</v>
      </c>
      <c r="B181" s="123" t="s">
        <v>802</v>
      </c>
      <c r="C181" s="123" t="s">
        <v>933</v>
      </c>
      <c r="D181" s="2" t="s">
        <v>156</v>
      </c>
      <c r="E181" s="148">
        <v>1</v>
      </c>
      <c r="F181" s="148">
        <v>1</v>
      </c>
      <c r="G181" s="148">
        <v>1</v>
      </c>
      <c r="H181" s="148">
        <v>1.0000000000000009</v>
      </c>
    </row>
    <row r="182" spans="1:8" ht="50.25" customHeight="1" x14ac:dyDescent="0.2">
      <c r="A182" s="17" t="s">
        <v>475</v>
      </c>
      <c r="B182" s="171"/>
      <c r="C182" s="171"/>
      <c r="D182" s="18" t="s">
        <v>157</v>
      </c>
      <c r="E182" s="148"/>
      <c r="F182" s="148"/>
      <c r="G182" s="148"/>
      <c r="H182" s="148"/>
    </row>
    <row r="183" spans="1:8" ht="50.25" customHeight="1" x14ac:dyDescent="0.2">
      <c r="A183" s="8" t="s">
        <v>476</v>
      </c>
      <c r="B183" s="124" t="s">
        <v>756</v>
      </c>
      <c r="C183" s="164" t="s">
        <v>934</v>
      </c>
      <c r="D183" s="2" t="s">
        <v>158</v>
      </c>
      <c r="E183" s="148">
        <v>1</v>
      </c>
      <c r="F183" s="148">
        <v>1</v>
      </c>
      <c r="G183" s="148">
        <v>1</v>
      </c>
      <c r="H183" s="148">
        <v>1.0000000000000009</v>
      </c>
    </row>
    <row r="184" spans="1:8" ht="50.25" customHeight="1" x14ac:dyDescent="0.2">
      <c r="A184" s="7" t="s">
        <v>477</v>
      </c>
      <c r="B184" s="123" t="s">
        <v>756</v>
      </c>
      <c r="C184" s="123" t="s">
        <v>935</v>
      </c>
      <c r="D184" s="2" t="s">
        <v>159</v>
      </c>
      <c r="E184" s="148">
        <v>1</v>
      </c>
      <c r="F184" s="148">
        <v>1</v>
      </c>
      <c r="G184" s="148">
        <v>1</v>
      </c>
      <c r="H184" s="148">
        <v>1</v>
      </c>
    </row>
    <row r="185" spans="1:8" ht="50.25" customHeight="1" x14ac:dyDescent="0.2">
      <c r="A185" s="10" t="s">
        <v>478</v>
      </c>
      <c r="B185" s="126" t="s">
        <v>936</v>
      </c>
      <c r="C185" s="126" t="s">
        <v>937</v>
      </c>
      <c r="D185" s="6" t="s">
        <v>160</v>
      </c>
      <c r="E185" s="148">
        <v>0</v>
      </c>
      <c r="F185" s="148">
        <v>1</v>
      </c>
      <c r="G185" s="149">
        <v>1</v>
      </c>
      <c r="H185" s="148">
        <v>0.75</v>
      </c>
    </row>
    <row r="186" spans="1:8" ht="50.25" customHeight="1" x14ac:dyDescent="0.2">
      <c r="A186" s="10" t="s">
        <v>479</v>
      </c>
      <c r="B186" s="165" t="s">
        <v>802</v>
      </c>
      <c r="C186" s="165" t="s">
        <v>938</v>
      </c>
      <c r="D186" s="6" t="s">
        <v>161</v>
      </c>
      <c r="E186" s="148">
        <v>1</v>
      </c>
      <c r="F186" s="148">
        <v>1</v>
      </c>
      <c r="G186" s="148">
        <v>1</v>
      </c>
      <c r="H186" s="148">
        <v>1</v>
      </c>
    </row>
    <row r="187" spans="1:8" ht="50.25" customHeight="1" x14ac:dyDescent="0.2">
      <c r="A187" s="8" t="s">
        <v>481</v>
      </c>
      <c r="B187" s="129" t="s">
        <v>756</v>
      </c>
      <c r="C187" s="129" t="s">
        <v>939</v>
      </c>
      <c r="D187" s="3" t="s">
        <v>163</v>
      </c>
      <c r="E187" s="148">
        <v>1</v>
      </c>
      <c r="F187" s="148">
        <v>1</v>
      </c>
      <c r="G187" s="148">
        <v>1</v>
      </c>
      <c r="H187" s="148">
        <v>1.0000000000000009</v>
      </c>
    </row>
    <row r="188" spans="1:8" ht="50.25" customHeight="1" x14ac:dyDescent="0.2">
      <c r="A188" s="8" t="s">
        <v>482</v>
      </c>
      <c r="B188" s="129" t="s">
        <v>756</v>
      </c>
      <c r="C188" s="124" t="s">
        <v>1096</v>
      </c>
      <c r="D188" s="3" t="s">
        <v>164</v>
      </c>
      <c r="E188" s="148">
        <v>0</v>
      </c>
      <c r="F188" s="148">
        <v>1</v>
      </c>
      <c r="G188" s="148">
        <v>0</v>
      </c>
      <c r="H188" s="148">
        <v>1.0000000000000009</v>
      </c>
    </row>
    <row r="189" spans="1:8" ht="50.25" customHeight="1" x14ac:dyDescent="0.2">
      <c r="A189" s="111" t="s">
        <v>655</v>
      </c>
      <c r="B189" s="124" t="s">
        <v>802</v>
      </c>
      <c r="C189" s="124" t="s">
        <v>940</v>
      </c>
      <c r="D189" s="112" t="s">
        <v>654</v>
      </c>
      <c r="E189" s="148">
        <v>1</v>
      </c>
      <c r="F189" s="148">
        <v>1</v>
      </c>
      <c r="G189" s="148">
        <v>1</v>
      </c>
      <c r="H189" s="148">
        <v>1.0000000000000009</v>
      </c>
    </row>
    <row r="190" spans="1:8" ht="50.25" customHeight="1" x14ac:dyDescent="0.2">
      <c r="A190" s="7" t="s">
        <v>484</v>
      </c>
      <c r="B190" s="124" t="s">
        <v>802</v>
      </c>
      <c r="C190" s="124" t="s">
        <v>941</v>
      </c>
      <c r="D190" s="2" t="s">
        <v>166</v>
      </c>
      <c r="E190" s="148">
        <v>1</v>
      </c>
      <c r="F190" s="148">
        <v>1</v>
      </c>
      <c r="G190" s="148">
        <v>1</v>
      </c>
      <c r="H190" s="148">
        <v>1.0000000000000009</v>
      </c>
    </row>
    <row r="191" spans="1:8" ht="50.25" customHeight="1" x14ac:dyDescent="0.2">
      <c r="A191" s="7" t="s">
        <v>508</v>
      </c>
      <c r="B191" s="124" t="s">
        <v>802</v>
      </c>
      <c r="C191" s="124" t="s">
        <v>942</v>
      </c>
      <c r="D191" s="1" t="s">
        <v>190</v>
      </c>
      <c r="E191" s="148">
        <v>1</v>
      </c>
      <c r="F191" s="148">
        <v>1</v>
      </c>
      <c r="G191" s="148">
        <v>1</v>
      </c>
      <c r="H191" s="148">
        <v>1.0000000000000009</v>
      </c>
    </row>
    <row r="192" spans="1:8" ht="50.25" customHeight="1" x14ac:dyDescent="0.2">
      <c r="A192" s="7" t="s">
        <v>523</v>
      </c>
      <c r="B192" s="129" t="s">
        <v>756</v>
      </c>
      <c r="C192" s="124" t="s">
        <v>943</v>
      </c>
      <c r="D192" s="1" t="s">
        <v>207</v>
      </c>
      <c r="E192" s="148">
        <v>1</v>
      </c>
      <c r="F192" s="148">
        <v>0</v>
      </c>
      <c r="G192" s="148">
        <v>1</v>
      </c>
      <c r="H192" s="148">
        <v>1.0000000000000009</v>
      </c>
    </row>
    <row r="193" spans="1:8" ht="50.25" customHeight="1" x14ac:dyDescent="0.2">
      <c r="A193" s="7" t="s">
        <v>839</v>
      </c>
      <c r="B193" s="124" t="s">
        <v>756</v>
      </c>
      <c r="C193" s="165" t="s">
        <v>950</v>
      </c>
      <c r="D193" s="1" t="s">
        <v>703</v>
      </c>
      <c r="E193" s="148">
        <v>1</v>
      </c>
      <c r="F193" s="148">
        <v>1</v>
      </c>
      <c r="G193" s="148">
        <v>0</v>
      </c>
      <c r="H193" s="148">
        <v>0.4</v>
      </c>
    </row>
    <row r="194" spans="1:8" ht="50.25" customHeight="1" x14ac:dyDescent="0.2">
      <c r="A194" s="8" t="s">
        <v>485</v>
      </c>
      <c r="B194" s="7" t="s">
        <v>802</v>
      </c>
      <c r="C194" s="124" t="s">
        <v>944</v>
      </c>
      <c r="D194" s="3" t="s">
        <v>167</v>
      </c>
      <c r="E194" s="148">
        <v>1</v>
      </c>
      <c r="F194" s="148">
        <v>1</v>
      </c>
      <c r="G194" s="148">
        <v>1</v>
      </c>
      <c r="H194" s="148">
        <v>1.0000000000000009</v>
      </c>
    </row>
    <row r="195" spans="1:8" ht="50.25" customHeight="1" x14ac:dyDescent="0.2">
      <c r="A195" s="8" t="s">
        <v>486</v>
      </c>
      <c r="B195" s="7" t="s">
        <v>802</v>
      </c>
      <c r="C195" s="124" t="s">
        <v>945</v>
      </c>
      <c r="D195" s="3" t="s">
        <v>168</v>
      </c>
      <c r="E195" s="148">
        <v>1</v>
      </c>
      <c r="F195" s="148">
        <v>1</v>
      </c>
      <c r="G195" s="148">
        <v>1</v>
      </c>
      <c r="H195" s="148">
        <v>1.0000000000000009</v>
      </c>
    </row>
    <row r="196" spans="1:8" ht="50.25" customHeight="1" x14ac:dyDescent="0.2">
      <c r="A196" s="7" t="s">
        <v>647</v>
      </c>
      <c r="B196" s="162"/>
      <c r="C196" s="162"/>
      <c r="D196" s="2" t="s">
        <v>651</v>
      </c>
      <c r="E196" s="148">
        <v>0</v>
      </c>
      <c r="F196" s="148">
        <v>0</v>
      </c>
      <c r="G196" s="148">
        <v>0</v>
      </c>
      <c r="H196" s="148">
        <v>0</v>
      </c>
    </row>
    <row r="197" spans="1:8" ht="50.25" customHeight="1" x14ac:dyDescent="0.45">
      <c r="A197" s="143"/>
      <c r="D197" s="144"/>
      <c r="E197" s="148">
        <v>1</v>
      </c>
      <c r="F197" s="148">
        <v>1</v>
      </c>
      <c r="G197" s="148">
        <v>1</v>
      </c>
      <c r="H197" s="148">
        <v>1.0000000000000009</v>
      </c>
    </row>
    <row r="198" spans="1:8" ht="50.25" customHeight="1" x14ac:dyDescent="0.2">
      <c r="A198" s="7" t="s">
        <v>487</v>
      </c>
      <c r="B198" s="124" t="s">
        <v>756</v>
      </c>
      <c r="C198" s="124" t="s">
        <v>946</v>
      </c>
      <c r="D198" s="2" t="s">
        <v>170</v>
      </c>
      <c r="E198" s="148">
        <v>0.79</v>
      </c>
      <c r="F198" s="148">
        <v>1</v>
      </c>
      <c r="G198" s="148">
        <v>0</v>
      </c>
      <c r="H198" s="148">
        <v>1</v>
      </c>
    </row>
    <row r="199" spans="1:8" ht="50.25" customHeight="1" x14ac:dyDescent="0.2">
      <c r="A199" s="7" t="s">
        <v>488</v>
      </c>
      <c r="B199" s="124" t="s">
        <v>802</v>
      </c>
      <c r="C199" s="124" t="s">
        <v>947</v>
      </c>
      <c r="D199" s="2" t="s">
        <v>171</v>
      </c>
      <c r="E199" s="148">
        <v>1</v>
      </c>
      <c r="F199" s="148">
        <v>1</v>
      </c>
      <c r="G199" s="148">
        <v>1</v>
      </c>
      <c r="H199" s="148">
        <v>1.0000000000000009</v>
      </c>
    </row>
    <row r="200" spans="1:8" ht="50.25" customHeight="1" x14ac:dyDescent="0.2">
      <c r="A200" s="7" t="s">
        <v>489</v>
      </c>
      <c r="B200" s="124" t="s">
        <v>756</v>
      </c>
      <c r="C200" s="124" t="s">
        <v>948</v>
      </c>
      <c r="D200" s="2" t="s">
        <v>172</v>
      </c>
      <c r="E200" s="148">
        <v>0</v>
      </c>
      <c r="F200" s="148">
        <v>0</v>
      </c>
      <c r="G200" s="148">
        <v>0</v>
      </c>
      <c r="H200" s="148">
        <v>0</v>
      </c>
    </row>
    <row r="201" spans="1:8" ht="50.25" customHeight="1" x14ac:dyDescent="0.2">
      <c r="A201" s="10" t="s">
        <v>490</v>
      </c>
      <c r="B201" s="165" t="s">
        <v>802</v>
      </c>
      <c r="C201" s="165" t="s">
        <v>949</v>
      </c>
      <c r="D201" s="6" t="s">
        <v>173</v>
      </c>
      <c r="E201" s="148">
        <v>0</v>
      </c>
      <c r="F201" s="148">
        <v>0</v>
      </c>
      <c r="G201" s="148">
        <v>0</v>
      </c>
      <c r="H201" s="148">
        <v>0</v>
      </c>
    </row>
    <row r="202" spans="1:8" ht="50.25" customHeight="1" x14ac:dyDescent="0.2">
      <c r="A202" s="10" t="s">
        <v>491</v>
      </c>
      <c r="B202" s="124" t="s">
        <v>756</v>
      </c>
      <c r="C202" s="165" t="s">
        <v>951</v>
      </c>
      <c r="D202" s="6" t="s">
        <v>174</v>
      </c>
      <c r="E202" s="148">
        <v>0</v>
      </c>
      <c r="F202" s="148">
        <v>0</v>
      </c>
      <c r="G202" s="148">
        <v>0</v>
      </c>
      <c r="H202" s="148">
        <v>0</v>
      </c>
    </row>
    <row r="203" spans="1:8" ht="50.25" customHeight="1" x14ac:dyDescent="0.2">
      <c r="A203" s="12" t="s">
        <v>492</v>
      </c>
      <c r="B203" s="172" t="s">
        <v>802</v>
      </c>
      <c r="C203" s="172" t="s">
        <v>952</v>
      </c>
      <c r="D203" s="6" t="s">
        <v>175</v>
      </c>
      <c r="E203" s="148">
        <v>0</v>
      </c>
      <c r="F203" s="148">
        <v>0</v>
      </c>
      <c r="G203" s="148">
        <v>1</v>
      </c>
      <c r="H203" s="148">
        <v>0</v>
      </c>
    </row>
    <row r="204" spans="1:8" ht="50.25" customHeight="1" x14ac:dyDescent="0.2">
      <c r="A204" s="7" t="s">
        <v>493</v>
      </c>
      <c r="B204" s="127" t="s">
        <v>756</v>
      </c>
      <c r="C204" s="172" t="s">
        <v>953</v>
      </c>
      <c r="D204" s="6" t="s">
        <v>176</v>
      </c>
      <c r="E204" s="148">
        <v>1</v>
      </c>
      <c r="F204" s="148">
        <v>1</v>
      </c>
      <c r="G204" s="148">
        <v>1</v>
      </c>
      <c r="H204" s="148">
        <v>1</v>
      </c>
    </row>
    <row r="205" spans="1:8" ht="50.25" customHeight="1" x14ac:dyDescent="0.2">
      <c r="A205" s="10" t="s">
        <v>494</v>
      </c>
      <c r="B205" s="165" t="s">
        <v>829</v>
      </c>
      <c r="C205" s="165" t="s">
        <v>954</v>
      </c>
      <c r="D205" s="6" t="s">
        <v>177</v>
      </c>
      <c r="E205" s="148">
        <v>1</v>
      </c>
      <c r="F205" s="148">
        <v>0</v>
      </c>
      <c r="G205" s="148">
        <v>1</v>
      </c>
      <c r="H205" s="148">
        <v>1</v>
      </c>
    </row>
    <row r="206" spans="1:8" ht="50.25" customHeight="1" x14ac:dyDescent="0.2">
      <c r="A206" s="8" t="s">
        <v>495</v>
      </c>
      <c r="B206" s="127" t="s">
        <v>756</v>
      </c>
      <c r="C206" s="127" t="s">
        <v>955</v>
      </c>
      <c r="D206" s="6" t="s">
        <v>178</v>
      </c>
      <c r="E206" s="149">
        <v>1</v>
      </c>
      <c r="F206" s="149">
        <v>1</v>
      </c>
      <c r="G206" s="148">
        <v>1</v>
      </c>
      <c r="H206" s="148">
        <v>1.0000000000000009</v>
      </c>
    </row>
    <row r="207" spans="1:8" ht="50.25" customHeight="1" x14ac:dyDescent="0.2">
      <c r="A207" s="116" t="s">
        <v>496</v>
      </c>
      <c r="B207" s="26" t="s">
        <v>756</v>
      </c>
      <c r="C207" s="26" t="s">
        <v>956</v>
      </c>
      <c r="D207" s="112" t="s">
        <v>179</v>
      </c>
      <c r="E207" s="148">
        <v>1</v>
      </c>
      <c r="F207" s="148">
        <v>1</v>
      </c>
      <c r="G207" s="148">
        <v>0</v>
      </c>
      <c r="H207" s="148">
        <v>1</v>
      </c>
    </row>
    <row r="208" spans="1:8" ht="50.25" customHeight="1" x14ac:dyDescent="0.2">
      <c r="A208" s="143"/>
      <c r="B208" s="162"/>
      <c r="C208" s="162"/>
      <c r="D208" s="144"/>
      <c r="E208" s="148"/>
      <c r="F208" s="148"/>
      <c r="G208" s="148"/>
      <c r="H208" s="148"/>
    </row>
    <row r="209" spans="1:8" ht="50.25" customHeight="1" x14ac:dyDescent="0.45">
      <c r="A209" s="88" t="s">
        <v>180</v>
      </c>
      <c r="D209" s="89"/>
      <c r="E209" s="150"/>
      <c r="F209" s="151"/>
      <c r="G209" s="152"/>
      <c r="H209" s="152"/>
    </row>
    <row r="210" spans="1:8" ht="50.25" customHeight="1" x14ac:dyDescent="0.2">
      <c r="A210" s="7" t="s">
        <v>497</v>
      </c>
      <c r="B210" s="127" t="s">
        <v>756</v>
      </c>
      <c r="C210" s="127" t="s">
        <v>957</v>
      </c>
      <c r="D210" s="2" t="s">
        <v>181</v>
      </c>
      <c r="E210" s="148">
        <v>1</v>
      </c>
      <c r="F210" s="148">
        <v>1</v>
      </c>
      <c r="G210" s="148">
        <v>1</v>
      </c>
      <c r="H210" s="148">
        <v>1</v>
      </c>
    </row>
    <row r="211" spans="1:8" ht="50.25" customHeight="1" x14ac:dyDescent="0.2">
      <c r="A211" s="17" t="s">
        <v>498</v>
      </c>
      <c r="B211" s="127" t="s">
        <v>802</v>
      </c>
      <c r="C211" s="127" t="s">
        <v>958</v>
      </c>
      <c r="D211" s="18" t="s">
        <v>182</v>
      </c>
      <c r="E211" s="148"/>
      <c r="F211" s="148"/>
      <c r="G211" s="148"/>
      <c r="H211" s="148"/>
    </row>
    <row r="212" spans="1:8" ht="50.25" customHeight="1" x14ac:dyDescent="0.2">
      <c r="A212" s="111" t="s">
        <v>414</v>
      </c>
      <c r="B212" s="127" t="s">
        <v>802</v>
      </c>
      <c r="C212" s="127" t="s">
        <v>959</v>
      </c>
      <c r="D212" s="111" t="s">
        <v>794</v>
      </c>
      <c r="E212" s="148">
        <v>0</v>
      </c>
      <c r="F212" s="148">
        <v>0</v>
      </c>
      <c r="G212" s="148">
        <v>0</v>
      </c>
      <c r="H212" s="148">
        <v>0</v>
      </c>
    </row>
    <row r="213" spans="1:8" ht="50.25" customHeight="1" x14ac:dyDescent="0.2">
      <c r="A213" s="116" t="s">
        <v>499</v>
      </c>
      <c r="B213" s="127" t="s">
        <v>802</v>
      </c>
      <c r="C213" s="127" t="s">
        <v>960</v>
      </c>
      <c r="D213" s="118" t="s">
        <v>183</v>
      </c>
      <c r="E213" s="148">
        <v>1</v>
      </c>
      <c r="F213" s="148">
        <v>1</v>
      </c>
      <c r="G213" s="148">
        <v>1</v>
      </c>
      <c r="H213" s="148">
        <v>1.0000000000000009</v>
      </c>
    </row>
    <row r="214" spans="1:8" ht="50.25" customHeight="1" x14ac:dyDescent="0.2">
      <c r="A214" s="17" t="s">
        <v>614</v>
      </c>
      <c r="B214" s="127" t="s">
        <v>802</v>
      </c>
      <c r="C214" s="173" t="s">
        <v>961</v>
      </c>
      <c r="D214" s="17" t="s">
        <v>659</v>
      </c>
      <c r="E214" s="148"/>
      <c r="F214" s="148"/>
      <c r="G214" s="148"/>
      <c r="H214" s="148"/>
    </row>
    <row r="215" spans="1:8" ht="50.25" customHeight="1" x14ac:dyDescent="0.2">
      <c r="A215" s="10" t="s">
        <v>502</v>
      </c>
      <c r="B215" s="127" t="s">
        <v>756</v>
      </c>
      <c r="C215" s="127" t="s">
        <v>962</v>
      </c>
      <c r="D215" s="6" t="s">
        <v>184</v>
      </c>
      <c r="E215" s="148">
        <v>1</v>
      </c>
      <c r="F215" s="148">
        <v>1</v>
      </c>
      <c r="G215" s="148">
        <v>1</v>
      </c>
      <c r="H215" s="148">
        <v>1.0000000000000009</v>
      </c>
    </row>
    <row r="216" spans="1:8" ht="50.25" customHeight="1" x14ac:dyDescent="0.2">
      <c r="A216" s="10" t="s">
        <v>503</v>
      </c>
      <c r="B216" s="127" t="s">
        <v>802</v>
      </c>
      <c r="C216" s="127" t="s">
        <v>963</v>
      </c>
      <c r="D216" s="6" t="s">
        <v>185</v>
      </c>
      <c r="E216" s="148">
        <v>0</v>
      </c>
      <c r="F216" s="148">
        <v>0</v>
      </c>
      <c r="G216" s="148">
        <v>0</v>
      </c>
      <c r="H216" s="148">
        <v>0</v>
      </c>
    </row>
    <row r="217" spans="1:8" ht="50.25" customHeight="1" x14ac:dyDescent="0.2">
      <c r="A217" s="10" t="s">
        <v>504</v>
      </c>
      <c r="B217" s="127" t="s">
        <v>802</v>
      </c>
      <c r="C217" s="127" t="s">
        <v>964</v>
      </c>
      <c r="D217" s="6" t="s">
        <v>186</v>
      </c>
      <c r="E217" s="148">
        <v>1</v>
      </c>
      <c r="F217" s="148">
        <v>1</v>
      </c>
      <c r="G217" s="148">
        <v>1</v>
      </c>
      <c r="H217" s="148">
        <v>1.0000000000000009</v>
      </c>
    </row>
    <row r="218" spans="1:8" ht="50.25" customHeight="1" x14ac:dyDescent="0.2">
      <c r="A218" s="8" t="s">
        <v>505</v>
      </c>
      <c r="B218" s="127" t="s">
        <v>802</v>
      </c>
      <c r="C218" s="127" t="s">
        <v>965</v>
      </c>
      <c r="D218" s="2" t="s">
        <v>187</v>
      </c>
      <c r="E218" s="148">
        <v>1</v>
      </c>
      <c r="F218" s="148">
        <v>1</v>
      </c>
      <c r="G218" s="148">
        <v>1</v>
      </c>
      <c r="H218" s="148">
        <v>0</v>
      </c>
    </row>
    <row r="219" spans="1:8" ht="50.25" customHeight="1" x14ac:dyDescent="0.2">
      <c r="A219" s="13" t="s">
        <v>506</v>
      </c>
      <c r="B219" s="127" t="s">
        <v>756</v>
      </c>
      <c r="C219" s="127" t="s">
        <v>966</v>
      </c>
      <c r="D219" s="3" t="s">
        <v>188</v>
      </c>
      <c r="E219" s="148">
        <v>1</v>
      </c>
      <c r="F219" s="148">
        <v>1</v>
      </c>
      <c r="G219" s="148">
        <v>1</v>
      </c>
      <c r="H219" s="148">
        <v>1.0000000000000009</v>
      </c>
    </row>
    <row r="220" spans="1:8" ht="50.25" customHeight="1" x14ac:dyDescent="0.2">
      <c r="A220" s="8" t="s">
        <v>507</v>
      </c>
      <c r="B220" s="127" t="s">
        <v>802</v>
      </c>
      <c r="C220" s="127" t="s">
        <v>967</v>
      </c>
      <c r="D220" s="3" t="s">
        <v>189</v>
      </c>
      <c r="E220" s="148">
        <v>1</v>
      </c>
      <c r="F220" s="148">
        <v>1</v>
      </c>
      <c r="G220" s="148">
        <v>1</v>
      </c>
      <c r="H220" s="148">
        <v>1.0000000000000009</v>
      </c>
    </row>
    <row r="221" spans="1:8" ht="50.25" customHeight="1" x14ac:dyDescent="0.2">
      <c r="A221" s="8" t="s">
        <v>509</v>
      </c>
      <c r="B221" s="8"/>
      <c r="C221" s="8"/>
      <c r="D221" s="3" t="s">
        <v>191</v>
      </c>
      <c r="E221" s="148">
        <v>0</v>
      </c>
      <c r="F221" s="148">
        <v>0.72</v>
      </c>
      <c r="G221" s="148">
        <v>1</v>
      </c>
      <c r="H221" s="148">
        <v>1.0000000000000009</v>
      </c>
    </row>
    <row r="222" spans="1:8" ht="50.25" customHeight="1" x14ac:dyDescent="0.2">
      <c r="A222" s="7" t="s">
        <v>638</v>
      </c>
      <c r="B222" s="127" t="s">
        <v>802</v>
      </c>
      <c r="C222" s="127" t="s">
        <v>968</v>
      </c>
      <c r="D222" s="2" t="s">
        <v>649</v>
      </c>
      <c r="E222" s="148">
        <v>1</v>
      </c>
      <c r="F222" s="148">
        <v>1</v>
      </c>
      <c r="G222" s="148">
        <v>1</v>
      </c>
      <c r="H222" s="148">
        <v>1.0000000000000009</v>
      </c>
    </row>
    <row r="223" spans="1:8" ht="50.25" customHeight="1" x14ac:dyDescent="0.2">
      <c r="A223" s="143"/>
      <c r="B223" s="162"/>
      <c r="C223" s="162"/>
      <c r="D223" s="144"/>
      <c r="E223" s="152"/>
      <c r="F223" s="151"/>
      <c r="G223" s="152"/>
      <c r="H223" s="152"/>
    </row>
    <row r="224" spans="1:8" ht="50.25" customHeight="1" x14ac:dyDescent="0.2">
      <c r="A224" s="7" t="s">
        <v>510</v>
      </c>
      <c r="B224" s="127" t="s">
        <v>802</v>
      </c>
      <c r="C224" s="127" t="s">
        <v>969</v>
      </c>
      <c r="D224" s="2" t="s">
        <v>193</v>
      </c>
      <c r="E224" s="148">
        <v>1</v>
      </c>
      <c r="F224" s="148">
        <v>1</v>
      </c>
      <c r="G224" s="148">
        <v>1</v>
      </c>
      <c r="H224" s="148">
        <v>1.0000000000000009</v>
      </c>
    </row>
    <row r="225" spans="1:8" ht="50.25" customHeight="1" x14ac:dyDescent="0.2">
      <c r="A225" s="8" t="s">
        <v>578</v>
      </c>
      <c r="B225" s="127" t="s">
        <v>756</v>
      </c>
      <c r="C225" s="127" t="s">
        <v>970</v>
      </c>
      <c r="D225" s="2" t="s">
        <v>268</v>
      </c>
      <c r="E225" s="148">
        <v>1</v>
      </c>
      <c r="F225" s="148">
        <v>1</v>
      </c>
      <c r="G225" s="148">
        <v>1</v>
      </c>
      <c r="H225" s="148">
        <v>1</v>
      </c>
    </row>
    <row r="226" spans="1:8" ht="50.25" customHeight="1" x14ac:dyDescent="0.2">
      <c r="A226" s="8" t="s">
        <v>511</v>
      </c>
      <c r="B226" s="127" t="s">
        <v>756</v>
      </c>
      <c r="C226" s="127" t="s">
        <v>971</v>
      </c>
      <c r="D226" s="3" t="s">
        <v>194</v>
      </c>
      <c r="E226" s="148">
        <v>1</v>
      </c>
      <c r="F226" s="148">
        <v>1</v>
      </c>
      <c r="G226" s="148">
        <v>0</v>
      </c>
      <c r="H226" s="148">
        <v>0</v>
      </c>
    </row>
    <row r="227" spans="1:8" ht="50.25" customHeight="1" x14ac:dyDescent="0.2">
      <c r="A227" s="7" t="s">
        <v>512</v>
      </c>
      <c r="B227" s="127" t="s">
        <v>869</v>
      </c>
      <c r="C227" s="127" t="s">
        <v>972</v>
      </c>
      <c r="D227" s="2" t="s">
        <v>195</v>
      </c>
      <c r="E227" s="148">
        <v>1</v>
      </c>
      <c r="F227" s="148">
        <v>0</v>
      </c>
      <c r="G227" s="148">
        <v>1</v>
      </c>
      <c r="H227" s="148">
        <v>1.0000000000000009</v>
      </c>
    </row>
    <row r="228" spans="1:8" ht="50.25" customHeight="1" x14ac:dyDescent="0.2">
      <c r="A228" s="8" t="s">
        <v>569</v>
      </c>
      <c r="B228" s="127" t="s">
        <v>756</v>
      </c>
      <c r="C228" s="127" t="s">
        <v>973</v>
      </c>
      <c r="D228" s="2" t="s">
        <v>258</v>
      </c>
      <c r="E228" s="148">
        <v>1</v>
      </c>
      <c r="F228" s="148">
        <v>0.97</v>
      </c>
      <c r="G228" s="148">
        <v>1</v>
      </c>
      <c r="H228" s="148">
        <v>0.97</v>
      </c>
    </row>
    <row r="229" spans="1:8" ht="50.25" customHeight="1" x14ac:dyDescent="0.2">
      <c r="A229" s="10" t="s">
        <v>513</v>
      </c>
      <c r="B229" s="127" t="s">
        <v>802</v>
      </c>
      <c r="C229" s="127" t="s">
        <v>974</v>
      </c>
      <c r="D229" s="6" t="s">
        <v>196</v>
      </c>
      <c r="E229" s="148">
        <v>1</v>
      </c>
      <c r="F229" s="148">
        <v>1</v>
      </c>
      <c r="G229" s="148">
        <v>1</v>
      </c>
      <c r="H229" s="148">
        <v>1.0000000000000009</v>
      </c>
    </row>
    <row r="230" spans="1:8" ht="50.25" customHeight="1" x14ac:dyDescent="0.2">
      <c r="A230" s="14" t="s">
        <v>514</v>
      </c>
      <c r="B230" s="127" t="s">
        <v>820</v>
      </c>
      <c r="C230" s="127" t="s">
        <v>975</v>
      </c>
      <c r="D230" s="2" t="s">
        <v>197</v>
      </c>
      <c r="E230" s="148">
        <v>0.44</v>
      </c>
      <c r="F230" s="148">
        <v>0</v>
      </c>
      <c r="G230" s="148">
        <v>1</v>
      </c>
      <c r="H230" s="148">
        <v>1.0000000000000009</v>
      </c>
    </row>
    <row r="231" spans="1:8" ht="50.25" customHeight="1" x14ac:dyDescent="0.2">
      <c r="A231" s="14" t="s">
        <v>515</v>
      </c>
      <c r="B231" s="127" t="s">
        <v>756</v>
      </c>
      <c r="C231" s="127" t="s">
        <v>976</v>
      </c>
      <c r="D231" s="2" t="s">
        <v>198</v>
      </c>
      <c r="E231" s="148">
        <v>1</v>
      </c>
      <c r="F231" s="148">
        <v>1</v>
      </c>
      <c r="G231" s="148">
        <v>1</v>
      </c>
      <c r="H231" s="148">
        <v>1.0000000000000009</v>
      </c>
    </row>
    <row r="232" spans="1:8" ht="50.25" customHeight="1" x14ac:dyDescent="0.2">
      <c r="A232" s="143"/>
      <c r="B232" s="162"/>
      <c r="C232" s="162"/>
      <c r="D232" s="144"/>
      <c r="E232" s="148"/>
      <c r="F232" s="148"/>
      <c r="G232" s="148"/>
      <c r="H232" s="148"/>
    </row>
    <row r="233" spans="1:8" ht="50.25" customHeight="1" x14ac:dyDescent="0.2">
      <c r="A233" s="7" t="s">
        <v>516</v>
      </c>
      <c r="B233" s="127" t="s">
        <v>756</v>
      </c>
      <c r="C233" s="127" t="s">
        <v>977</v>
      </c>
      <c r="D233" s="2" t="s">
        <v>200</v>
      </c>
      <c r="E233" s="148">
        <v>0</v>
      </c>
      <c r="F233" s="148">
        <v>0.9</v>
      </c>
      <c r="G233" s="148">
        <v>0.9</v>
      </c>
      <c r="H233" s="148">
        <v>0</v>
      </c>
    </row>
    <row r="234" spans="1:8" ht="50.25" customHeight="1" x14ac:dyDescent="0.2">
      <c r="A234" s="7" t="s">
        <v>517</v>
      </c>
      <c r="B234" s="127" t="s">
        <v>936</v>
      </c>
      <c r="C234" s="127" t="s">
        <v>978</v>
      </c>
      <c r="D234" s="2" t="s">
        <v>201</v>
      </c>
      <c r="E234" s="148">
        <v>1</v>
      </c>
      <c r="F234" s="148">
        <v>1</v>
      </c>
      <c r="G234" s="148">
        <v>0</v>
      </c>
      <c r="H234" s="148">
        <v>0</v>
      </c>
    </row>
    <row r="235" spans="1:8" ht="50.25" customHeight="1" x14ac:dyDescent="0.2">
      <c r="A235" s="8" t="s">
        <v>518</v>
      </c>
      <c r="B235" s="127" t="s">
        <v>756</v>
      </c>
      <c r="C235" s="127" t="s">
        <v>979</v>
      </c>
      <c r="D235" s="3" t="s">
        <v>202</v>
      </c>
      <c r="E235" s="148">
        <v>1</v>
      </c>
      <c r="F235" s="148">
        <v>1</v>
      </c>
      <c r="G235" s="148">
        <v>1</v>
      </c>
      <c r="H235" s="148">
        <v>1</v>
      </c>
    </row>
    <row r="236" spans="1:8" ht="50.25" customHeight="1" x14ac:dyDescent="0.2">
      <c r="A236" s="7" t="s">
        <v>519</v>
      </c>
      <c r="B236" s="127" t="s">
        <v>802</v>
      </c>
      <c r="C236" s="127" t="s">
        <v>980</v>
      </c>
      <c r="D236" s="2" t="s">
        <v>203</v>
      </c>
      <c r="E236" s="148">
        <v>1</v>
      </c>
      <c r="F236" s="148">
        <v>1</v>
      </c>
      <c r="G236" s="148">
        <v>1</v>
      </c>
      <c r="H236" s="148">
        <v>1.0000000000000009</v>
      </c>
    </row>
    <row r="237" spans="1:8" ht="50.25" customHeight="1" x14ac:dyDescent="0.2">
      <c r="A237" s="7" t="s">
        <v>520</v>
      </c>
      <c r="B237" s="127" t="s">
        <v>756</v>
      </c>
      <c r="C237" s="127" t="s">
        <v>981</v>
      </c>
      <c r="D237" s="2" t="s">
        <v>204</v>
      </c>
      <c r="E237" s="148">
        <v>1</v>
      </c>
      <c r="F237" s="148">
        <v>1</v>
      </c>
      <c r="G237" s="148">
        <v>1</v>
      </c>
      <c r="H237" s="148">
        <v>1</v>
      </c>
    </row>
    <row r="238" spans="1:8" ht="50.25" customHeight="1" x14ac:dyDescent="0.2">
      <c r="A238" s="7" t="s">
        <v>521</v>
      </c>
      <c r="B238" s="127" t="s">
        <v>756</v>
      </c>
      <c r="C238" s="127" t="s">
        <v>982</v>
      </c>
      <c r="D238" s="2" t="s">
        <v>205</v>
      </c>
      <c r="E238" s="148">
        <v>1</v>
      </c>
      <c r="F238" s="148">
        <v>1</v>
      </c>
      <c r="G238" s="148">
        <v>1</v>
      </c>
      <c r="H238" s="148">
        <v>1.0000000000000009</v>
      </c>
    </row>
    <row r="239" spans="1:8" ht="50.25" customHeight="1" x14ac:dyDescent="0.2">
      <c r="A239" s="7" t="s">
        <v>522</v>
      </c>
      <c r="B239" s="127" t="s">
        <v>802</v>
      </c>
      <c r="C239" s="127" t="s">
        <v>983</v>
      </c>
      <c r="D239" s="1" t="s">
        <v>206</v>
      </c>
      <c r="E239" s="148">
        <v>1</v>
      </c>
      <c r="F239" s="148">
        <v>1</v>
      </c>
      <c r="G239" s="148">
        <v>1</v>
      </c>
      <c r="H239" s="148">
        <v>1</v>
      </c>
    </row>
    <row r="240" spans="1:8" ht="50.25" customHeight="1" x14ac:dyDescent="0.45">
      <c r="A240" s="143"/>
      <c r="B240" s="162"/>
      <c r="C240" s="162"/>
      <c r="D240" s="144"/>
      <c r="E240" s="153"/>
      <c r="F240" s="154"/>
      <c r="G240" s="155"/>
      <c r="H240" s="153"/>
    </row>
    <row r="241" spans="1:8" ht="50.25" customHeight="1" x14ac:dyDescent="0.45">
      <c r="A241" s="88" t="s">
        <v>208</v>
      </c>
      <c r="B241" s="92"/>
      <c r="C241" s="92"/>
      <c r="D241" s="89"/>
      <c r="E241" s="153"/>
      <c r="F241" s="154"/>
      <c r="G241" s="155"/>
      <c r="H241" s="153"/>
    </row>
    <row r="242" spans="1:8" ht="50.25" customHeight="1" x14ac:dyDescent="0.2">
      <c r="A242" s="7" t="s">
        <v>524</v>
      </c>
      <c r="B242" s="123" t="s">
        <v>802</v>
      </c>
      <c r="C242" s="123" t="s">
        <v>984</v>
      </c>
      <c r="D242" s="2" t="s">
        <v>209</v>
      </c>
      <c r="E242" s="148">
        <v>1</v>
      </c>
      <c r="F242" s="148">
        <v>0.98</v>
      </c>
      <c r="G242" s="148">
        <v>1</v>
      </c>
      <c r="H242" s="148">
        <v>0.78</v>
      </c>
    </row>
    <row r="243" spans="1:8" ht="50.25" customHeight="1" x14ac:dyDescent="0.2">
      <c r="A243" s="8" t="s">
        <v>526</v>
      </c>
      <c r="B243" s="174" t="s">
        <v>756</v>
      </c>
      <c r="C243" s="123" t="s">
        <v>985</v>
      </c>
      <c r="D243" s="2" t="s">
        <v>648</v>
      </c>
      <c r="E243" s="148">
        <v>1</v>
      </c>
      <c r="F243" s="148">
        <v>1</v>
      </c>
      <c r="G243" s="148">
        <v>1</v>
      </c>
      <c r="H243" s="148">
        <v>0.75</v>
      </c>
    </row>
    <row r="244" spans="1:8" ht="50.25" customHeight="1" x14ac:dyDescent="0.2">
      <c r="A244" s="114" t="s">
        <v>379</v>
      </c>
      <c r="B244" s="123" t="s">
        <v>802</v>
      </c>
      <c r="C244" s="123" t="s">
        <v>1099</v>
      </c>
      <c r="D244" s="115" t="s">
        <v>56</v>
      </c>
      <c r="E244" s="148">
        <v>1</v>
      </c>
      <c r="F244" s="148">
        <v>0.81</v>
      </c>
      <c r="G244" s="148">
        <v>1</v>
      </c>
      <c r="H244" s="148">
        <v>0</v>
      </c>
    </row>
    <row r="245" spans="1:8" ht="50.25" customHeight="1" x14ac:dyDescent="0.2">
      <c r="A245" s="15" t="s">
        <v>527</v>
      </c>
      <c r="B245" s="174" t="s">
        <v>756</v>
      </c>
      <c r="C245" s="174" t="s">
        <v>986</v>
      </c>
      <c r="D245" s="6" t="s">
        <v>211</v>
      </c>
      <c r="E245" s="148">
        <v>0</v>
      </c>
      <c r="F245" s="148">
        <v>0</v>
      </c>
      <c r="G245" s="148">
        <v>0</v>
      </c>
      <c r="H245" s="148">
        <v>0</v>
      </c>
    </row>
    <row r="246" spans="1:8" ht="50.25" customHeight="1" x14ac:dyDescent="0.2">
      <c r="A246" s="16" t="s">
        <v>528</v>
      </c>
      <c r="B246" s="123" t="s">
        <v>756</v>
      </c>
      <c r="C246" s="123" t="s">
        <v>987</v>
      </c>
      <c r="D246" s="16" t="s">
        <v>212</v>
      </c>
      <c r="E246" s="148"/>
      <c r="F246" s="148"/>
      <c r="G246" s="148"/>
      <c r="H246" s="148"/>
    </row>
    <row r="247" spans="1:8" ht="50.25" customHeight="1" x14ac:dyDescent="0.2">
      <c r="A247" s="8" t="s">
        <v>529</v>
      </c>
      <c r="B247" s="127" t="s">
        <v>756</v>
      </c>
      <c r="C247" s="127" t="s">
        <v>988</v>
      </c>
      <c r="D247" s="1" t="s">
        <v>213</v>
      </c>
      <c r="E247" s="148">
        <v>0</v>
      </c>
      <c r="F247" s="148">
        <v>0</v>
      </c>
      <c r="G247" s="148">
        <v>1</v>
      </c>
      <c r="H247" s="148">
        <v>1.0000000000000009</v>
      </c>
    </row>
    <row r="248" spans="1:8" ht="50.25" customHeight="1" x14ac:dyDescent="0.2">
      <c r="A248" s="7" t="s">
        <v>565</v>
      </c>
      <c r="B248" s="127" t="s">
        <v>802</v>
      </c>
      <c r="C248" s="127" t="s">
        <v>989</v>
      </c>
      <c r="D248" s="2" t="s">
        <v>252</v>
      </c>
      <c r="E248" s="148">
        <v>1</v>
      </c>
      <c r="F248" s="148">
        <v>1</v>
      </c>
      <c r="G248" s="148">
        <v>1</v>
      </c>
      <c r="H248" s="148">
        <v>0</v>
      </c>
    </row>
    <row r="249" spans="1:8" ht="50.25" customHeight="1" x14ac:dyDescent="0.2">
      <c r="A249" s="8" t="s">
        <v>531</v>
      </c>
      <c r="B249" s="127" t="s">
        <v>756</v>
      </c>
      <c r="C249" s="127" t="s">
        <v>990</v>
      </c>
      <c r="D249" s="3" t="s">
        <v>215</v>
      </c>
      <c r="E249" s="148">
        <v>1</v>
      </c>
      <c r="F249" s="148">
        <v>1</v>
      </c>
      <c r="G249" s="148">
        <v>1</v>
      </c>
      <c r="H249" s="148">
        <v>1.0000000000000009</v>
      </c>
    </row>
    <row r="250" spans="1:8" ht="50.25" customHeight="1" x14ac:dyDescent="0.2">
      <c r="A250" s="143"/>
      <c r="B250" s="162"/>
      <c r="C250" s="162"/>
      <c r="D250" s="144"/>
      <c r="E250" s="148"/>
      <c r="F250" s="148"/>
      <c r="G250" s="148"/>
      <c r="H250" s="148"/>
    </row>
    <row r="251" spans="1:8" ht="50.25" customHeight="1" x14ac:dyDescent="0.2">
      <c r="A251" s="7" t="s">
        <v>525</v>
      </c>
      <c r="B251" s="127" t="s">
        <v>756</v>
      </c>
      <c r="C251" s="123" t="s">
        <v>991</v>
      </c>
      <c r="D251" s="2" t="s">
        <v>210</v>
      </c>
      <c r="E251" s="148">
        <v>0</v>
      </c>
      <c r="F251" s="148">
        <v>0</v>
      </c>
      <c r="G251" s="148">
        <v>0</v>
      </c>
      <c r="H251" s="148">
        <v>0</v>
      </c>
    </row>
    <row r="252" spans="1:8" ht="50.25" customHeight="1" x14ac:dyDescent="0.2">
      <c r="A252" s="8" t="s">
        <v>469</v>
      </c>
      <c r="B252" s="8" t="s">
        <v>802</v>
      </c>
      <c r="C252" s="123" t="s">
        <v>992</v>
      </c>
      <c r="D252" s="3" t="s">
        <v>149</v>
      </c>
      <c r="E252" s="148">
        <v>1</v>
      </c>
      <c r="F252" s="148">
        <v>1</v>
      </c>
      <c r="G252" s="148">
        <v>1</v>
      </c>
      <c r="H252" s="148">
        <v>1</v>
      </c>
    </row>
    <row r="253" spans="1:8" ht="50.25" customHeight="1" x14ac:dyDescent="0.2">
      <c r="A253" s="7" t="s">
        <v>551</v>
      </c>
      <c r="B253" s="124" t="s">
        <v>756</v>
      </c>
      <c r="C253" s="123" t="s">
        <v>993</v>
      </c>
      <c r="D253" s="2" t="s">
        <v>238</v>
      </c>
      <c r="E253" s="148">
        <v>0</v>
      </c>
      <c r="F253" s="148">
        <v>0</v>
      </c>
      <c r="G253" s="148">
        <v>0</v>
      </c>
      <c r="H253" s="148">
        <v>0</v>
      </c>
    </row>
    <row r="254" spans="1:8" ht="50.25" customHeight="1" x14ac:dyDescent="0.2">
      <c r="A254" s="7" t="s">
        <v>532</v>
      </c>
      <c r="B254" s="124" t="s">
        <v>756</v>
      </c>
      <c r="C254" s="123" t="s">
        <v>994</v>
      </c>
      <c r="D254" s="3" t="s">
        <v>217</v>
      </c>
      <c r="E254" s="148">
        <v>1</v>
      </c>
      <c r="F254" s="148">
        <v>1</v>
      </c>
      <c r="G254" s="148">
        <v>1</v>
      </c>
      <c r="H254" s="148">
        <v>1</v>
      </c>
    </row>
    <row r="255" spans="1:8" ht="50.25" customHeight="1" x14ac:dyDescent="0.2">
      <c r="A255" s="7" t="s">
        <v>533</v>
      </c>
      <c r="B255" s="174" t="s">
        <v>756</v>
      </c>
      <c r="C255" s="123" t="s">
        <v>995</v>
      </c>
      <c r="D255" s="2" t="s">
        <v>218</v>
      </c>
      <c r="E255" s="148">
        <v>1</v>
      </c>
      <c r="F255" s="148">
        <v>1</v>
      </c>
      <c r="G255" s="148">
        <v>1</v>
      </c>
      <c r="H255" s="148">
        <v>1.0000000000000009</v>
      </c>
    </row>
    <row r="256" spans="1:8" ht="50.25" customHeight="1" x14ac:dyDescent="0.2">
      <c r="A256" s="111" t="s">
        <v>661</v>
      </c>
      <c r="B256" s="174" t="s">
        <v>802</v>
      </c>
      <c r="C256" s="123" t="s">
        <v>996</v>
      </c>
      <c r="D256" s="112" t="s">
        <v>662</v>
      </c>
      <c r="E256" s="148">
        <v>0</v>
      </c>
      <c r="F256" s="148">
        <v>0</v>
      </c>
      <c r="G256" s="148">
        <v>0</v>
      </c>
      <c r="H256" s="148">
        <v>0</v>
      </c>
    </row>
    <row r="257" spans="1:8" ht="50.25" customHeight="1" x14ac:dyDescent="0.2">
      <c r="A257" s="14" t="s">
        <v>534</v>
      </c>
      <c r="B257" s="174" t="s">
        <v>802</v>
      </c>
      <c r="C257" s="174" t="s">
        <v>997</v>
      </c>
      <c r="D257" s="6" t="s">
        <v>219</v>
      </c>
      <c r="E257" s="148">
        <v>1</v>
      </c>
      <c r="F257" s="148">
        <v>1</v>
      </c>
      <c r="G257" s="148">
        <v>1</v>
      </c>
      <c r="H257" s="148">
        <v>1.0000000000000009</v>
      </c>
    </row>
    <row r="258" spans="1:8" ht="50.25" customHeight="1" x14ac:dyDescent="0.2">
      <c r="A258" s="8" t="s">
        <v>535</v>
      </c>
      <c r="B258" s="174" t="s">
        <v>802</v>
      </c>
      <c r="C258" s="174" t="s">
        <v>998</v>
      </c>
      <c r="D258" s="3" t="s">
        <v>220</v>
      </c>
      <c r="E258" s="148">
        <v>1</v>
      </c>
      <c r="F258" s="148">
        <v>1</v>
      </c>
      <c r="G258" s="148">
        <v>1</v>
      </c>
      <c r="H258" s="148">
        <v>1</v>
      </c>
    </row>
    <row r="259" spans="1:8" ht="50.25" customHeight="1" x14ac:dyDescent="0.2">
      <c r="A259" s="7" t="s">
        <v>537</v>
      </c>
      <c r="B259" s="124" t="s">
        <v>756</v>
      </c>
      <c r="C259" s="124" t="s">
        <v>999</v>
      </c>
      <c r="D259" s="1" t="s">
        <v>222</v>
      </c>
      <c r="E259" s="148">
        <v>1</v>
      </c>
      <c r="F259" s="148">
        <v>1</v>
      </c>
      <c r="G259" s="148">
        <v>1</v>
      </c>
      <c r="H259" s="148">
        <v>1</v>
      </c>
    </row>
    <row r="260" spans="1:8" ht="50.25" customHeight="1" x14ac:dyDescent="0.2">
      <c r="A260" s="8" t="s">
        <v>538</v>
      </c>
      <c r="B260" s="129" t="s">
        <v>756</v>
      </c>
      <c r="C260" s="129" t="s">
        <v>1000</v>
      </c>
      <c r="D260" s="3" t="s">
        <v>223</v>
      </c>
      <c r="E260" s="148">
        <v>1</v>
      </c>
      <c r="F260" s="148">
        <v>1</v>
      </c>
      <c r="G260" s="148">
        <v>1</v>
      </c>
      <c r="H260" s="148">
        <v>1.0000000000000009</v>
      </c>
    </row>
    <row r="261" spans="1:8" ht="50.25" customHeight="1" x14ac:dyDescent="0.2">
      <c r="A261" s="143"/>
      <c r="B261" s="162"/>
      <c r="C261" s="162"/>
      <c r="D261" s="144"/>
      <c r="E261" s="148"/>
      <c r="F261" s="148"/>
      <c r="G261" s="148"/>
      <c r="H261" s="148"/>
    </row>
    <row r="262" spans="1:8" ht="50.25" customHeight="1" x14ac:dyDescent="0.2">
      <c r="A262" s="7" t="s">
        <v>539</v>
      </c>
      <c r="B262" s="170" t="s">
        <v>756</v>
      </c>
      <c r="C262" s="170" t="s">
        <v>1001</v>
      </c>
      <c r="D262" s="2" t="s">
        <v>225</v>
      </c>
      <c r="E262" s="148">
        <v>1</v>
      </c>
      <c r="F262" s="148">
        <v>1</v>
      </c>
      <c r="G262" s="148">
        <v>0</v>
      </c>
      <c r="H262" s="148">
        <v>0</v>
      </c>
    </row>
    <row r="263" spans="1:8" ht="50.25" customHeight="1" x14ac:dyDescent="0.2">
      <c r="A263" s="7" t="s">
        <v>541</v>
      </c>
      <c r="B263" s="123" t="s">
        <v>802</v>
      </c>
      <c r="C263" s="123" t="s">
        <v>1002</v>
      </c>
      <c r="D263" s="2" t="s">
        <v>227</v>
      </c>
      <c r="E263" s="148">
        <v>0</v>
      </c>
      <c r="F263" s="148">
        <v>0</v>
      </c>
      <c r="G263" s="148">
        <v>1</v>
      </c>
      <c r="H263" s="148">
        <v>1</v>
      </c>
    </row>
    <row r="264" spans="1:8" ht="50.25" customHeight="1" x14ac:dyDescent="0.2">
      <c r="A264" s="8" t="s">
        <v>542</v>
      </c>
      <c r="B264" s="129" t="s">
        <v>756</v>
      </c>
      <c r="C264" s="129" t="s">
        <v>1003</v>
      </c>
      <c r="D264" s="3" t="s">
        <v>228</v>
      </c>
      <c r="E264" s="148">
        <v>1</v>
      </c>
      <c r="F264" s="148">
        <v>1</v>
      </c>
      <c r="G264" s="148">
        <v>1</v>
      </c>
      <c r="H264" s="148">
        <v>1</v>
      </c>
    </row>
    <row r="265" spans="1:8" ht="50.25" customHeight="1" x14ac:dyDescent="0.2">
      <c r="A265" s="8" t="s">
        <v>543</v>
      </c>
      <c r="B265" s="129" t="s">
        <v>802</v>
      </c>
      <c r="C265" s="129" t="s">
        <v>1004</v>
      </c>
      <c r="D265" s="3" t="s">
        <v>229</v>
      </c>
      <c r="E265" s="148">
        <v>0</v>
      </c>
      <c r="F265" s="148">
        <v>1</v>
      </c>
      <c r="G265" s="148">
        <v>1</v>
      </c>
      <c r="H265" s="148">
        <v>1.0000000000000009</v>
      </c>
    </row>
    <row r="266" spans="1:8" ht="50.25" customHeight="1" x14ac:dyDescent="0.2">
      <c r="A266" s="16" t="s">
        <v>501</v>
      </c>
      <c r="B266" s="171"/>
      <c r="C266" s="171"/>
      <c r="D266" s="26" t="s">
        <v>732</v>
      </c>
      <c r="E266" s="148"/>
      <c r="F266" s="148"/>
      <c r="G266" s="148"/>
      <c r="H266" s="148"/>
    </row>
    <row r="267" spans="1:8" ht="50.25" customHeight="1" x14ac:dyDescent="0.2">
      <c r="A267" s="7" t="s">
        <v>544</v>
      </c>
      <c r="B267" s="123" t="s">
        <v>756</v>
      </c>
      <c r="C267" s="123" t="s">
        <v>1005</v>
      </c>
      <c r="D267" s="2" t="s">
        <v>230</v>
      </c>
      <c r="E267" s="148">
        <v>0</v>
      </c>
      <c r="F267" s="148">
        <v>0</v>
      </c>
      <c r="G267" s="148">
        <v>0</v>
      </c>
      <c r="H267" s="148">
        <v>0</v>
      </c>
    </row>
    <row r="268" spans="1:8" ht="50.25" customHeight="1" x14ac:dyDescent="0.2">
      <c r="A268" s="7" t="s">
        <v>545</v>
      </c>
      <c r="B268" s="123" t="s">
        <v>756</v>
      </c>
      <c r="C268" s="123" t="s">
        <v>1006</v>
      </c>
      <c r="D268" s="2" t="s">
        <v>231</v>
      </c>
      <c r="E268" s="148">
        <v>1</v>
      </c>
      <c r="F268" s="148">
        <v>0</v>
      </c>
      <c r="G268" s="148">
        <v>1</v>
      </c>
      <c r="H268" s="148">
        <v>0.97</v>
      </c>
    </row>
    <row r="269" spans="1:8" ht="50.25" customHeight="1" x14ac:dyDescent="0.2">
      <c r="A269" s="7" t="s">
        <v>642</v>
      </c>
      <c r="B269" s="123" t="s">
        <v>756</v>
      </c>
      <c r="C269" s="123" t="s">
        <v>1007</v>
      </c>
      <c r="D269" s="2" t="s">
        <v>641</v>
      </c>
      <c r="E269" s="148">
        <v>1</v>
      </c>
      <c r="F269" s="148">
        <v>0</v>
      </c>
      <c r="G269" s="148">
        <v>1</v>
      </c>
      <c r="H269" s="148">
        <v>0</v>
      </c>
    </row>
    <row r="270" spans="1:8" ht="50.25" customHeight="1" x14ac:dyDescent="0.45">
      <c r="A270" s="143"/>
      <c r="B270" s="162"/>
      <c r="C270" s="162"/>
      <c r="D270" s="144"/>
      <c r="E270" s="153"/>
      <c r="F270" s="154"/>
      <c r="G270" s="155"/>
      <c r="H270" s="153"/>
    </row>
    <row r="271" spans="1:8" ht="50.25" customHeight="1" x14ac:dyDescent="0.2">
      <c r="A271" s="7" t="s">
        <v>546</v>
      </c>
      <c r="B271" s="125" t="s">
        <v>756</v>
      </c>
      <c r="C271" s="125" t="s">
        <v>1008</v>
      </c>
      <c r="D271" s="2" t="s">
        <v>233</v>
      </c>
      <c r="E271" s="145">
        <v>0</v>
      </c>
      <c r="F271" s="145">
        <v>0</v>
      </c>
      <c r="G271" s="145">
        <v>0</v>
      </c>
      <c r="H271" s="145">
        <v>0</v>
      </c>
    </row>
    <row r="272" spans="1:8" ht="50.25" customHeight="1" x14ac:dyDescent="0.2">
      <c r="A272" s="8" t="s">
        <v>547</v>
      </c>
      <c r="B272" s="170" t="s">
        <v>802</v>
      </c>
      <c r="C272" s="170" t="s">
        <v>1009</v>
      </c>
      <c r="D272" s="2" t="s">
        <v>234</v>
      </c>
      <c r="E272" s="148">
        <v>1</v>
      </c>
      <c r="F272" s="148">
        <v>1</v>
      </c>
      <c r="G272" s="148">
        <v>1</v>
      </c>
      <c r="H272" s="148">
        <v>1.0000000000000009</v>
      </c>
    </row>
    <row r="273" spans="1:8" ht="50.25" customHeight="1" x14ac:dyDescent="0.2">
      <c r="A273" s="7" t="s">
        <v>548</v>
      </c>
      <c r="B273" s="170" t="s">
        <v>756</v>
      </c>
      <c r="C273" s="170" t="s">
        <v>1010</v>
      </c>
      <c r="D273" s="2" t="s">
        <v>235</v>
      </c>
      <c r="E273" s="148">
        <v>1</v>
      </c>
      <c r="F273" s="148">
        <v>0</v>
      </c>
      <c r="G273" s="148">
        <v>1</v>
      </c>
      <c r="H273" s="148">
        <v>1</v>
      </c>
    </row>
    <row r="274" spans="1:8" ht="50.25" customHeight="1" x14ac:dyDescent="0.2">
      <c r="A274" s="8" t="s">
        <v>549</v>
      </c>
      <c r="B274" s="170" t="s">
        <v>802</v>
      </c>
      <c r="C274" s="170" t="s">
        <v>1011</v>
      </c>
      <c r="D274" s="1" t="s">
        <v>236</v>
      </c>
      <c r="E274" s="148">
        <v>1</v>
      </c>
      <c r="F274" s="148">
        <v>0</v>
      </c>
      <c r="G274" s="148">
        <v>1</v>
      </c>
      <c r="H274" s="148">
        <v>1</v>
      </c>
    </row>
    <row r="275" spans="1:8" ht="50.25" customHeight="1" x14ac:dyDescent="0.2">
      <c r="A275" s="7" t="s">
        <v>550</v>
      </c>
      <c r="B275" s="170" t="s">
        <v>756</v>
      </c>
      <c r="C275" s="170" t="s">
        <v>1012</v>
      </c>
      <c r="D275" s="2" t="s">
        <v>237</v>
      </c>
      <c r="E275" s="148">
        <v>1</v>
      </c>
      <c r="F275" s="148">
        <v>1</v>
      </c>
      <c r="G275" s="148">
        <v>1</v>
      </c>
      <c r="H275" s="148">
        <v>1.0000000000000009</v>
      </c>
    </row>
    <row r="276" spans="1:8" ht="50.25" customHeight="1" x14ac:dyDescent="0.2">
      <c r="A276" s="7" t="s">
        <v>552</v>
      </c>
      <c r="B276" s="124" t="s">
        <v>802</v>
      </c>
      <c r="C276" s="170" t="s">
        <v>1013</v>
      </c>
      <c r="D276" s="2" t="s">
        <v>239</v>
      </c>
      <c r="E276" s="148">
        <v>0</v>
      </c>
      <c r="F276" s="148">
        <v>0</v>
      </c>
      <c r="G276" s="148">
        <v>0</v>
      </c>
      <c r="H276" s="148">
        <v>0</v>
      </c>
    </row>
    <row r="277" spans="1:8" ht="50.25" customHeight="1" x14ac:dyDescent="0.2">
      <c r="A277" s="7" t="s">
        <v>553</v>
      </c>
      <c r="B277" s="124" t="s">
        <v>802</v>
      </c>
      <c r="C277" s="124" t="s">
        <v>1014</v>
      </c>
      <c r="D277" s="2" t="s">
        <v>240</v>
      </c>
      <c r="E277" s="148">
        <v>0</v>
      </c>
      <c r="F277" s="148">
        <v>0</v>
      </c>
      <c r="G277" s="148">
        <v>0</v>
      </c>
      <c r="H277" s="148">
        <v>0</v>
      </c>
    </row>
    <row r="278" spans="1:8" ht="50.25" customHeight="1" x14ac:dyDescent="0.2">
      <c r="A278" s="7" t="s">
        <v>554</v>
      </c>
      <c r="B278" s="124" t="s">
        <v>802</v>
      </c>
      <c r="C278" s="124" t="s">
        <v>1015</v>
      </c>
      <c r="D278" s="2" t="s">
        <v>241</v>
      </c>
      <c r="E278" s="148">
        <v>1</v>
      </c>
      <c r="F278" s="149">
        <v>1</v>
      </c>
      <c r="G278" s="148">
        <v>1</v>
      </c>
      <c r="H278" s="148">
        <v>1.0000000000000009</v>
      </c>
    </row>
    <row r="279" spans="1:8" ht="50.25" customHeight="1" x14ac:dyDescent="0.2">
      <c r="A279" s="7" t="s">
        <v>555</v>
      </c>
      <c r="B279" s="170" t="s">
        <v>756</v>
      </c>
      <c r="C279" s="170" t="s">
        <v>1016</v>
      </c>
      <c r="D279" s="2" t="s">
        <v>242</v>
      </c>
      <c r="E279" s="148">
        <v>1</v>
      </c>
      <c r="F279" s="148">
        <v>1</v>
      </c>
      <c r="G279" s="148">
        <v>1</v>
      </c>
      <c r="H279" s="148">
        <v>1.0000000000000009</v>
      </c>
    </row>
    <row r="280" spans="1:8" ht="50.25" customHeight="1" x14ac:dyDescent="0.2">
      <c r="A280" s="7" t="s">
        <v>556</v>
      </c>
      <c r="B280" s="124" t="s">
        <v>802</v>
      </c>
      <c r="C280" s="124" t="s">
        <v>1017</v>
      </c>
      <c r="D280" s="2" t="s">
        <v>243</v>
      </c>
      <c r="E280" s="148">
        <v>0</v>
      </c>
      <c r="F280" s="148">
        <v>0</v>
      </c>
      <c r="G280" s="148">
        <v>0</v>
      </c>
      <c r="H280" s="148">
        <v>0</v>
      </c>
    </row>
    <row r="281" spans="1:8" ht="50.25" customHeight="1" x14ac:dyDescent="0.2">
      <c r="A281" s="8" t="s">
        <v>557</v>
      </c>
      <c r="B281" s="129" t="s">
        <v>802</v>
      </c>
      <c r="C281" s="129" t="s">
        <v>1018</v>
      </c>
      <c r="D281" s="3" t="s">
        <v>244</v>
      </c>
      <c r="E281" s="148">
        <v>1</v>
      </c>
      <c r="F281" s="148">
        <v>1</v>
      </c>
      <c r="G281" s="148">
        <v>1</v>
      </c>
      <c r="H281" s="148">
        <v>1.0000000000000009</v>
      </c>
    </row>
    <row r="282" spans="1:8" ht="50.25" customHeight="1" x14ac:dyDescent="0.2">
      <c r="A282" s="8" t="s">
        <v>559</v>
      </c>
      <c r="B282" s="174" t="s">
        <v>756</v>
      </c>
      <c r="C282" s="129" t="s">
        <v>1019</v>
      </c>
      <c r="D282" s="2" t="s">
        <v>246</v>
      </c>
      <c r="E282" s="148">
        <v>1</v>
      </c>
      <c r="F282" s="148">
        <v>1</v>
      </c>
      <c r="G282" s="148">
        <v>0</v>
      </c>
      <c r="H282" s="148">
        <v>1.0000000000000009</v>
      </c>
    </row>
    <row r="283" spans="1:8" ht="50.25" customHeight="1" x14ac:dyDescent="0.2">
      <c r="A283" s="8" t="s">
        <v>560</v>
      </c>
      <c r="B283" s="174" t="s">
        <v>756</v>
      </c>
      <c r="C283" s="129" t="s">
        <v>1020</v>
      </c>
      <c r="D283" s="2" t="s">
        <v>247</v>
      </c>
      <c r="E283" s="148">
        <v>0</v>
      </c>
      <c r="F283" s="148">
        <v>0</v>
      </c>
      <c r="G283" s="148">
        <v>0</v>
      </c>
      <c r="H283" s="148">
        <v>0</v>
      </c>
    </row>
    <row r="284" spans="1:8" ht="50.25" customHeight="1" x14ac:dyDescent="0.2">
      <c r="A284" s="14" t="s">
        <v>561</v>
      </c>
      <c r="B284" s="174" t="s">
        <v>756</v>
      </c>
      <c r="C284" s="174" t="s">
        <v>1021</v>
      </c>
      <c r="D284" s="2" t="s">
        <v>248</v>
      </c>
      <c r="E284" s="148">
        <v>1</v>
      </c>
      <c r="F284" s="148">
        <v>0</v>
      </c>
      <c r="G284" s="148">
        <v>1</v>
      </c>
      <c r="H284" s="148">
        <v>1.0000000000000009</v>
      </c>
    </row>
    <row r="285" spans="1:8" ht="50.25" customHeight="1" x14ac:dyDescent="0.2">
      <c r="A285" s="14" t="s">
        <v>562</v>
      </c>
      <c r="B285" s="174" t="s">
        <v>802</v>
      </c>
      <c r="C285" s="174" t="s">
        <v>1022</v>
      </c>
      <c r="D285" s="2" t="s">
        <v>249</v>
      </c>
      <c r="E285" s="148">
        <v>1</v>
      </c>
      <c r="F285" s="148">
        <v>1</v>
      </c>
      <c r="G285" s="148">
        <v>1</v>
      </c>
      <c r="H285" s="148">
        <v>1</v>
      </c>
    </row>
    <row r="286" spans="1:8" ht="50.25" customHeight="1" x14ac:dyDescent="0.2">
      <c r="A286" s="7" t="s">
        <v>563</v>
      </c>
      <c r="B286" s="124" t="s">
        <v>756</v>
      </c>
      <c r="C286" s="124" t="s">
        <v>1023</v>
      </c>
      <c r="D286" s="2" t="s">
        <v>250</v>
      </c>
      <c r="E286" s="148">
        <v>1</v>
      </c>
      <c r="F286" s="148">
        <v>1</v>
      </c>
      <c r="G286" s="148">
        <v>1</v>
      </c>
      <c r="H286" s="148">
        <v>1.0000000000000009</v>
      </c>
    </row>
    <row r="287" spans="1:8" ht="50.25" customHeight="1" x14ac:dyDescent="0.2">
      <c r="A287" s="7" t="s">
        <v>564</v>
      </c>
      <c r="B287" s="124" t="s">
        <v>756</v>
      </c>
      <c r="C287" s="124" t="s">
        <v>1024</v>
      </c>
      <c r="D287" s="2" t="s">
        <v>251</v>
      </c>
      <c r="E287" s="148">
        <v>1</v>
      </c>
      <c r="F287" s="148">
        <v>1</v>
      </c>
      <c r="G287" s="148">
        <v>1</v>
      </c>
      <c r="H287" s="148">
        <v>1</v>
      </c>
    </row>
    <row r="288" spans="1:8" ht="50.25" customHeight="1" x14ac:dyDescent="0.2">
      <c r="A288" s="8" t="s">
        <v>530</v>
      </c>
      <c r="B288" s="124" t="s">
        <v>756</v>
      </c>
      <c r="C288" s="124" t="s">
        <v>1025</v>
      </c>
      <c r="D288" s="3" t="s">
        <v>214</v>
      </c>
      <c r="E288" s="148">
        <v>1</v>
      </c>
      <c r="F288" s="148">
        <v>1</v>
      </c>
      <c r="G288" s="148">
        <v>1</v>
      </c>
      <c r="H288" s="148">
        <v>1</v>
      </c>
    </row>
    <row r="289" spans="1:8" ht="50.25" customHeight="1" x14ac:dyDescent="0.2">
      <c r="A289" s="8" t="s">
        <v>566</v>
      </c>
      <c r="B289" s="129" t="s">
        <v>802</v>
      </c>
      <c r="C289" s="124" t="s">
        <v>1026</v>
      </c>
      <c r="D289" s="2" t="s">
        <v>253</v>
      </c>
      <c r="E289" s="148">
        <v>1</v>
      </c>
      <c r="F289" s="148">
        <v>1</v>
      </c>
      <c r="G289" s="148">
        <v>1</v>
      </c>
      <c r="H289" s="148">
        <v>1.0000000000000009</v>
      </c>
    </row>
    <row r="290" spans="1:8" ht="50.25" customHeight="1" x14ac:dyDescent="0.2">
      <c r="A290" s="16" t="s">
        <v>567</v>
      </c>
      <c r="B290" s="7"/>
      <c r="C290" s="7"/>
      <c r="D290" s="26" t="s">
        <v>254</v>
      </c>
      <c r="E290" s="148"/>
      <c r="F290" s="148"/>
      <c r="G290" s="148"/>
      <c r="H290" s="148"/>
    </row>
    <row r="291" spans="1:8" ht="50.25" customHeight="1" x14ac:dyDescent="0.2">
      <c r="A291" s="16" t="s">
        <v>643</v>
      </c>
      <c r="B291" s="7" t="s">
        <v>869</v>
      </c>
      <c r="C291" s="124" t="s">
        <v>1098</v>
      </c>
      <c r="D291" s="26" t="s">
        <v>798</v>
      </c>
      <c r="E291" s="148">
        <v>1</v>
      </c>
      <c r="F291" s="148">
        <v>0.98</v>
      </c>
      <c r="G291" s="148">
        <v>1</v>
      </c>
      <c r="H291" s="148">
        <v>1.0000000000000009</v>
      </c>
    </row>
    <row r="292" spans="1:8" ht="50.25" customHeight="1" x14ac:dyDescent="0.45">
      <c r="A292" s="143"/>
      <c r="D292" s="144"/>
      <c r="E292" s="148"/>
      <c r="F292" s="148"/>
      <c r="G292" s="148"/>
      <c r="H292" s="148"/>
    </row>
    <row r="293" spans="1:8" ht="50.25" customHeight="1" x14ac:dyDescent="0.2">
      <c r="A293" s="7" t="s">
        <v>568</v>
      </c>
      <c r="B293" s="170" t="s">
        <v>756</v>
      </c>
      <c r="C293" s="170" t="s">
        <v>1027</v>
      </c>
      <c r="D293" s="2" t="s">
        <v>256</v>
      </c>
      <c r="E293" s="148">
        <v>1</v>
      </c>
      <c r="F293" s="148">
        <v>1</v>
      </c>
      <c r="G293" s="148">
        <v>1</v>
      </c>
      <c r="H293" s="148">
        <v>1.0000000000000009</v>
      </c>
    </row>
    <row r="294" spans="1:8" ht="50.25" customHeight="1" x14ac:dyDescent="0.2">
      <c r="A294" s="7" t="s">
        <v>540</v>
      </c>
      <c r="B294" s="126" t="s">
        <v>802</v>
      </c>
      <c r="C294" s="170" t="s">
        <v>1028</v>
      </c>
      <c r="D294" s="2" t="s">
        <v>226</v>
      </c>
      <c r="E294" s="148">
        <v>1</v>
      </c>
      <c r="F294" s="148">
        <v>1</v>
      </c>
      <c r="G294" s="149">
        <v>1</v>
      </c>
      <c r="H294" s="148">
        <v>1</v>
      </c>
    </row>
    <row r="295" spans="1:8" ht="50.25" customHeight="1" x14ac:dyDescent="0.2">
      <c r="A295" s="111" t="s">
        <v>606</v>
      </c>
      <c r="B295" s="126" t="s">
        <v>802</v>
      </c>
      <c r="C295" s="170" t="s">
        <v>1029</v>
      </c>
      <c r="D295" s="112" t="s">
        <v>656</v>
      </c>
      <c r="E295" s="148">
        <v>0</v>
      </c>
      <c r="F295" s="148">
        <v>0</v>
      </c>
      <c r="G295" s="148">
        <v>0</v>
      </c>
      <c r="H295" s="148">
        <v>0</v>
      </c>
    </row>
    <row r="296" spans="1:8" ht="50.25" customHeight="1" x14ac:dyDescent="0.2">
      <c r="A296" s="8" t="s">
        <v>455</v>
      </c>
      <c r="B296" s="170" t="s">
        <v>756</v>
      </c>
      <c r="C296" s="170" t="s">
        <v>1030</v>
      </c>
      <c r="D296" s="3" t="s">
        <v>134</v>
      </c>
      <c r="E296" s="148">
        <v>1</v>
      </c>
      <c r="F296" s="148">
        <v>1</v>
      </c>
      <c r="G296" s="148">
        <v>1</v>
      </c>
      <c r="H296" s="148">
        <v>1.0000000000000009</v>
      </c>
    </row>
    <row r="297" spans="1:8" ht="50.25" customHeight="1" x14ac:dyDescent="0.2">
      <c r="A297" s="143"/>
      <c r="B297" s="175"/>
      <c r="C297" s="175"/>
      <c r="D297" s="144"/>
      <c r="E297" s="156"/>
      <c r="F297" s="157"/>
      <c r="G297" s="156"/>
      <c r="H297" s="156"/>
    </row>
    <row r="298" spans="1:8" ht="50.25" customHeight="1" x14ac:dyDescent="0.2">
      <c r="A298" s="10" t="s">
        <v>570</v>
      </c>
      <c r="B298" s="126" t="s">
        <v>802</v>
      </c>
      <c r="C298" s="126" t="s">
        <v>1031</v>
      </c>
      <c r="D298" s="6" t="s">
        <v>259</v>
      </c>
      <c r="E298" s="148">
        <v>1</v>
      </c>
      <c r="F298" s="148">
        <v>1</v>
      </c>
      <c r="G298" s="148">
        <v>1</v>
      </c>
      <c r="H298" s="148">
        <v>0</v>
      </c>
    </row>
    <row r="299" spans="1:8" ht="50.25" customHeight="1" x14ac:dyDescent="0.2">
      <c r="A299" s="8" t="s">
        <v>571</v>
      </c>
      <c r="B299" s="129" t="s">
        <v>756</v>
      </c>
      <c r="C299" s="129" t="s">
        <v>1032</v>
      </c>
      <c r="D299" s="3" t="s">
        <v>260</v>
      </c>
      <c r="E299" s="148">
        <v>1</v>
      </c>
      <c r="F299" s="148">
        <v>1</v>
      </c>
      <c r="G299" s="148">
        <v>1</v>
      </c>
      <c r="H299" s="148">
        <v>1</v>
      </c>
    </row>
    <row r="300" spans="1:8" ht="50.25" customHeight="1" x14ac:dyDescent="0.2">
      <c r="A300" s="143"/>
      <c r="B300" s="175"/>
      <c r="C300" s="175"/>
      <c r="D300" s="144"/>
      <c r="E300" s="156"/>
      <c r="F300" s="157"/>
      <c r="G300" s="156"/>
      <c r="H300" s="156"/>
    </row>
    <row r="301" spans="1:8" ht="50.25" customHeight="1" x14ac:dyDescent="0.2">
      <c r="A301" s="7" t="s">
        <v>572</v>
      </c>
      <c r="B301" s="125" t="s">
        <v>802</v>
      </c>
      <c r="C301" s="125" t="s">
        <v>1033</v>
      </c>
      <c r="D301" s="2" t="s">
        <v>262</v>
      </c>
      <c r="E301" s="148">
        <v>1</v>
      </c>
      <c r="F301" s="148">
        <v>1</v>
      </c>
      <c r="G301" s="148">
        <v>0</v>
      </c>
      <c r="H301" s="148">
        <v>0</v>
      </c>
    </row>
    <row r="302" spans="1:8" ht="50.25" customHeight="1" x14ac:dyDescent="0.2">
      <c r="A302" s="7" t="s">
        <v>573</v>
      </c>
      <c r="B302" s="123" t="s">
        <v>756</v>
      </c>
      <c r="C302" s="123" t="s">
        <v>1034</v>
      </c>
      <c r="D302" s="2" t="s">
        <v>263</v>
      </c>
      <c r="E302" s="148">
        <v>1</v>
      </c>
      <c r="F302" s="148">
        <v>1</v>
      </c>
      <c r="G302" s="148">
        <v>1</v>
      </c>
      <c r="H302" s="148">
        <v>1</v>
      </c>
    </row>
    <row r="303" spans="1:8" ht="50.25" customHeight="1" x14ac:dyDescent="0.2">
      <c r="A303" s="7" t="s">
        <v>574</v>
      </c>
      <c r="B303" s="124" t="s">
        <v>802</v>
      </c>
      <c r="C303" s="124" t="s">
        <v>1035</v>
      </c>
      <c r="D303" s="2" t="s">
        <v>264</v>
      </c>
      <c r="E303" s="148">
        <v>1</v>
      </c>
      <c r="F303" s="148">
        <v>1</v>
      </c>
      <c r="G303" s="148">
        <v>1</v>
      </c>
      <c r="H303" s="148">
        <v>1</v>
      </c>
    </row>
    <row r="304" spans="1:8" ht="50.25" customHeight="1" x14ac:dyDescent="0.2">
      <c r="A304" s="8" t="s">
        <v>575</v>
      </c>
      <c r="B304" s="123" t="s">
        <v>756</v>
      </c>
      <c r="C304" s="124" t="s">
        <v>1036</v>
      </c>
      <c r="D304" s="3" t="s">
        <v>265</v>
      </c>
      <c r="E304" s="148">
        <v>1</v>
      </c>
      <c r="F304" s="148">
        <v>1</v>
      </c>
      <c r="G304" s="148">
        <v>1</v>
      </c>
      <c r="H304" s="148">
        <v>1.0000000000000009</v>
      </c>
    </row>
    <row r="305" spans="1:8" ht="50.25" customHeight="1" x14ac:dyDescent="0.2">
      <c r="A305" s="7" t="s">
        <v>576</v>
      </c>
      <c r="B305" s="125" t="s">
        <v>936</v>
      </c>
      <c r="C305" s="125" t="s">
        <v>1037</v>
      </c>
      <c r="D305" s="2" t="s">
        <v>266</v>
      </c>
      <c r="E305" s="148">
        <v>0</v>
      </c>
      <c r="F305" s="148">
        <v>0</v>
      </c>
      <c r="G305" s="148">
        <v>0</v>
      </c>
      <c r="H305" s="148">
        <v>0</v>
      </c>
    </row>
    <row r="306" spans="1:8" ht="50.25" customHeight="1" x14ac:dyDescent="0.2">
      <c r="A306" s="7" t="s">
        <v>577</v>
      </c>
      <c r="B306" s="125" t="s">
        <v>756</v>
      </c>
      <c r="C306" s="125" t="s">
        <v>1038</v>
      </c>
      <c r="D306" s="2" t="s">
        <v>267</v>
      </c>
      <c r="E306" s="148">
        <v>1</v>
      </c>
      <c r="F306" s="148">
        <v>0</v>
      </c>
      <c r="G306" s="148">
        <v>1</v>
      </c>
      <c r="H306" s="148">
        <v>1.0000000000000009</v>
      </c>
    </row>
    <row r="307" spans="1:8" ht="50.25" customHeight="1" x14ac:dyDescent="0.2">
      <c r="A307" s="7" t="s">
        <v>579</v>
      </c>
      <c r="B307" s="124" t="s">
        <v>802</v>
      </c>
      <c r="C307" s="124" t="s">
        <v>1039</v>
      </c>
      <c r="D307" s="2" t="s">
        <v>269</v>
      </c>
      <c r="E307" s="148">
        <v>0.85</v>
      </c>
      <c r="F307" s="148">
        <v>1</v>
      </c>
      <c r="G307" s="148">
        <v>1</v>
      </c>
      <c r="H307" s="148">
        <v>1.0000000000000009</v>
      </c>
    </row>
    <row r="308" spans="1:8" ht="50.25" customHeight="1" x14ac:dyDescent="0.2">
      <c r="A308" s="16" t="s">
        <v>580</v>
      </c>
      <c r="B308" s="176" t="s">
        <v>756</v>
      </c>
      <c r="C308" s="176" t="s">
        <v>1040</v>
      </c>
      <c r="D308" s="26" t="s">
        <v>270</v>
      </c>
      <c r="E308" s="148"/>
      <c r="F308" s="148"/>
      <c r="G308" s="148"/>
      <c r="H308" s="148"/>
    </row>
    <row r="309" spans="1:8" ht="50.25" customHeight="1" x14ac:dyDescent="0.2">
      <c r="A309" s="7" t="s">
        <v>558</v>
      </c>
      <c r="B309" s="124" t="s">
        <v>802</v>
      </c>
      <c r="C309" s="176" t="s">
        <v>1041</v>
      </c>
      <c r="D309" s="2" t="s">
        <v>245</v>
      </c>
      <c r="E309" s="148">
        <v>1</v>
      </c>
      <c r="F309" s="148">
        <v>0.79</v>
      </c>
      <c r="G309" s="148">
        <v>1</v>
      </c>
      <c r="H309" s="148">
        <v>1.0000000000000009</v>
      </c>
    </row>
    <row r="310" spans="1:8" ht="50.25" customHeight="1" x14ac:dyDescent="0.2">
      <c r="A310" s="8" t="s">
        <v>581</v>
      </c>
      <c r="B310" s="129" t="s">
        <v>756</v>
      </c>
      <c r="C310" s="129" t="s">
        <v>1042</v>
      </c>
      <c r="D310" s="3" t="s">
        <v>271</v>
      </c>
      <c r="E310" s="148">
        <v>0</v>
      </c>
      <c r="F310" s="148">
        <v>1</v>
      </c>
      <c r="G310" s="148">
        <v>0</v>
      </c>
      <c r="H310" s="148">
        <v>0</v>
      </c>
    </row>
    <row r="311" spans="1:8" s="36" customFormat="1" ht="50.25" customHeight="1" x14ac:dyDescent="0.2">
      <c r="A311" s="111" t="s">
        <v>743</v>
      </c>
      <c r="B311" s="124" t="s">
        <v>802</v>
      </c>
      <c r="C311" s="129" t="s">
        <v>1097</v>
      </c>
      <c r="D311" s="112" t="s">
        <v>742</v>
      </c>
      <c r="E311" s="148">
        <v>1</v>
      </c>
      <c r="F311" s="148">
        <v>1</v>
      </c>
      <c r="G311" s="148">
        <v>1</v>
      </c>
      <c r="H311" s="148">
        <v>1</v>
      </c>
    </row>
    <row r="312" spans="1:8" ht="50.25" customHeight="1" x14ac:dyDescent="0.2">
      <c r="A312" s="16" t="s">
        <v>640</v>
      </c>
      <c r="B312" s="7"/>
      <c r="C312" s="7"/>
      <c r="D312" s="26" t="s">
        <v>799</v>
      </c>
      <c r="E312" s="148">
        <v>0</v>
      </c>
      <c r="F312" s="148">
        <v>0</v>
      </c>
      <c r="G312" s="148"/>
      <c r="H312" s="148"/>
    </row>
    <row r="313" spans="1:8" ht="50.25" customHeight="1" x14ac:dyDescent="0.45">
      <c r="A313" s="143"/>
      <c r="B313" s="177"/>
      <c r="C313" s="177"/>
      <c r="D313" s="144"/>
      <c r="E313" s="148"/>
      <c r="F313" s="148"/>
      <c r="G313" s="148"/>
      <c r="H313" s="148"/>
    </row>
    <row r="314" spans="1:8" ht="50.25" customHeight="1" x14ac:dyDescent="0.45">
      <c r="A314" s="11" t="s">
        <v>272</v>
      </c>
      <c r="D314" s="5"/>
      <c r="E314" s="153"/>
      <c r="F314" s="154"/>
      <c r="G314" s="155"/>
      <c r="H314" s="153"/>
    </row>
    <row r="315" spans="1:8" ht="50.25" customHeight="1" x14ac:dyDescent="0.2">
      <c r="A315" s="7" t="s">
        <v>582</v>
      </c>
      <c r="B315" s="129" t="s">
        <v>756</v>
      </c>
      <c r="C315" s="129" t="s">
        <v>1043</v>
      </c>
      <c r="D315" s="2" t="s">
        <v>273</v>
      </c>
      <c r="E315" s="148">
        <v>1</v>
      </c>
      <c r="F315" s="148">
        <v>1</v>
      </c>
      <c r="G315" s="148">
        <v>1</v>
      </c>
      <c r="H315" s="148">
        <v>1</v>
      </c>
    </row>
    <row r="316" spans="1:8" ht="50.25" customHeight="1" x14ac:dyDescent="0.2">
      <c r="A316" s="7" t="s">
        <v>583</v>
      </c>
      <c r="B316" s="129" t="s">
        <v>802</v>
      </c>
      <c r="C316" s="129" t="s">
        <v>1044</v>
      </c>
      <c r="D316" s="2" t="s">
        <v>274</v>
      </c>
      <c r="E316" s="148">
        <v>1</v>
      </c>
      <c r="F316" s="148">
        <v>1</v>
      </c>
      <c r="G316" s="148">
        <v>1</v>
      </c>
      <c r="H316" s="148">
        <v>1.0000000000000009</v>
      </c>
    </row>
    <row r="317" spans="1:8" ht="50.25" customHeight="1" x14ac:dyDescent="0.45">
      <c r="A317" s="143"/>
      <c r="B317" s="178"/>
      <c r="C317" s="178"/>
      <c r="D317" s="144"/>
      <c r="E317" s="153"/>
      <c r="F317" s="154"/>
      <c r="G317" s="155"/>
      <c r="H317" s="153"/>
    </row>
    <row r="318" spans="1:8" ht="50.25" customHeight="1" x14ac:dyDescent="0.2">
      <c r="A318" s="7" t="s">
        <v>584</v>
      </c>
      <c r="B318" s="123" t="s">
        <v>756</v>
      </c>
      <c r="C318" s="123" t="s">
        <v>1045</v>
      </c>
      <c r="D318" s="2" t="s">
        <v>276</v>
      </c>
      <c r="E318" s="148">
        <v>1</v>
      </c>
      <c r="F318" s="148">
        <v>1</v>
      </c>
      <c r="G318" s="148">
        <v>1</v>
      </c>
      <c r="H318" s="148">
        <v>1</v>
      </c>
    </row>
    <row r="319" spans="1:8" ht="50.25" customHeight="1" x14ac:dyDescent="0.2">
      <c r="A319" s="7" t="s">
        <v>585</v>
      </c>
      <c r="B319" s="170" t="s">
        <v>756</v>
      </c>
      <c r="C319" s="170" t="s">
        <v>1046</v>
      </c>
      <c r="D319" s="2" t="s">
        <v>277</v>
      </c>
      <c r="E319" s="148">
        <v>1</v>
      </c>
      <c r="F319" s="148">
        <v>1</v>
      </c>
      <c r="G319" s="148">
        <v>1</v>
      </c>
      <c r="H319" s="148">
        <v>1.0000000000000009</v>
      </c>
    </row>
    <row r="320" spans="1:8" ht="50.25" customHeight="1" x14ac:dyDescent="0.2">
      <c r="A320" s="7" t="s">
        <v>586</v>
      </c>
      <c r="B320" s="170" t="s">
        <v>756</v>
      </c>
      <c r="C320" s="170" t="s">
        <v>1047</v>
      </c>
      <c r="D320" s="2" t="s">
        <v>278</v>
      </c>
      <c r="E320" s="148">
        <v>1</v>
      </c>
      <c r="F320" s="148">
        <v>1</v>
      </c>
      <c r="G320" s="148">
        <v>1</v>
      </c>
      <c r="H320" s="148">
        <v>1</v>
      </c>
    </row>
    <row r="321" spans="1:8" ht="50.25" customHeight="1" x14ac:dyDescent="0.2">
      <c r="A321" s="7" t="s">
        <v>587</v>
      </c>
      <c r="B321" s="170" t="s">
        <v>802</v>
      </c>
      <c r="C321" s="170" t="s">
        <v>1048</v>
      </c>
      <c r="D321" s="2" t="s">
        <v>279</v>
      </c>
      <c r="E321" s="148">
        <v>1</v>
      </c>
      <c r="F321" s="148">
        <v>1</v>
      </c>
      <c r="G321" s="148">
        <v>1</v>
      </c>
      <c r="H321" s="148">
        <v>1</v>
      </c>
    </row>
    <row r="322" spans="1:8" ht="50.25" customHeight="1" x14ac:dyDescent="0.2">
      <c r="A322" s="12" t="s">
        <v>588</v>
      </c>
      <c r="B322" s="128" t="s">
        <v>756</v>
      </c>
      <c r="C322" s="128" t="s">
        <v>1049</v>
      </c>
      <c r="D322" s="2" t="s">
        <v>280</v>
      </c>
      <c r="E322" s="148">
        <v>0</v>
      </c>
      <c r="F322" s="148">
        <v>0</v>
      </c>
      <c r="G322" s="148">
        <v>1</v>
      </c>
      <c r="H322" s="148">
        <v>1.0000000000000009</v>
      </c>
    </row>
    <row r="323" spans="1:8" ht="50.25" customHeight="1" x14ac:dyDescent="0.2">
      <c r="A323" s="8" t="s">
        <v>589</v>
      </c>
      <c r="B323" s="129" t="s">
        <v>802</v>
      </c>
      <c r="C323" s="129" t="s">
        <v>1050</v>
      </c>
      <c r="D323" s="3" t="s">
        <v>281</v>
      </c>
      <c r="E323" s="148">
        <v>1</v>
      </c>
      <c r="F323" s="148">
        <v>0</v>
      </c>
      <c r="G323" s="148">
        <v>1</v>
      </c>
      <c r="H323" s="148">
        <v>1.0000000000000009</v>
      </c>
    </row>
    <row r="324" spans="1:8" ht="50.25" customHeight="1" x14ac:dyDescent="0.2">
      <c r="A324" s="10" t="s">
        <v>590</v>
      </c>
      <c r="B324" s="129" t="s">
        <v>756</v>
      </c>
      <c r="C324" s="129" t="s">
        <v>1051</v>
      </c>
      <c r="D324" s="6" t="s">
        <v>282</v>
      </c>
      <c r="E324" s="148">
        <v>1</v>
      </c>
      <c r="F324" s="148">
        <v>1</v>
      </c>
      <c r="G324" s="148">
        <v>1</v>
      </c>
      <c r="H324" s="148">
        <v>1</v>
      </c>
    </row>
    <row r="325" spans="1:8" ht="50.25" customHeight="1" x14ac:dyDescent="0.2">
      <c r="A325" s="8" t="s">
        <v>591</v>
      </c>
      <c r="B325" s="129" t="s">
        <v>802</v>
      </c>
      <c r="C325" s="129" t="s">
        <v>1052</v>
      </c>
      <c r="D325" s="3" t="s">
        <v>283</v>
      </c>
      <c r="E325" s="148">
        <v>1</v>
      </c>
      <c r="F325" s="148">
        <v>1</v>
      </c>
      <c r="G325" s="148">
        <v>1</v>
      </c>
      <c r="H325" s="148">
        <v>1.0000000000000009</v>
      </c>
    </row>
    <row r="326" spans="1:8" ht="50.25" customHeight="1" x14ac:dyDescent="0.2">
      <c r="A326" s="7" t="s">
        <v>480</v>
      </c>
      <c r="B326" s="124" t="s">
        <v>756</v>
      </c>
      <c r="C326" s="129" t="s">
        <v>1053</v>
      </c>
      <c r="D326" s="2" t="s">
        <v>162</v>
      </c>
      <c r="E326" s="148">
        <v>0</v>
      </c>
      <c r="F326" s="148">
        <v>0.21</v>
      </c>
      <c r="G326" s="148">
        <v>1</v>
      </c>
      <c r="H326" s="148">
        <v>0</v>
      </c>
    </row>
    <row r="327" spans="1:8" ht="50.25" customHeight="1" x14ac:dyDescent="0.2">
      <c r="A327" s="7" t="s">
        <v>592</v>
      </c>
      <c r="B327" s="124" t="s">
        <v>756</v>
      </c>
      <c r="C327" s="124" t="s">
        <v>1054</v>
      </c>
      <c r="D327" s="2" t="s">
        <v>284</v>
      </c>
      <c r="E327" s="148">
        <v>1</v>
      </c>
      <c r="F327" s="148">
        <v>1</v>
      </c>
      <c r="G327" s="148">
        <v>1</v>
      </c>
      <c r="H327" s="148">
        <v>1.0000000000000009</v>
      </c>
    </row>
    <row r="328" spans="1:8" ht="50.25" customHeight="1" x14ac:dyDescent="0.2">
      <c r="A328" s="7" t="s">
        <v>593</v>
      </c>
      <c r="B328" s="124" t="s">
        <v>756</v>
      </c>
      <c r="C328" s="124" t="s">
        <v>1055</v>
      </c>
      <c r="D328" s="2" t="s">
        <v>285</v>
      </c>
      <c r="E328" s="148">
        <v>1</v>
      </c>
      <c r="F328" s="148">
        <v>1</v>
      </c>
      <c r="G328" s="148">
        <v>1</v>
      </c>
      <c r="H328" s="148">
        <v>1.0000000000000009</v>
      </c>
    </row>
    <row r="329" spans="1:8" ht="61.9" customHeight="1" x14ac:dyDescent="0.2">
      <c r="A329" s="7" t="s">
        <v>595</v>
      </c>
      <c r="B329" s="123" t="s">
        <v>756</v>
      </c>
      <c r="C329" s="123" t="s">
        <v>1056</v>
      </c>
      <c r="D329" s="2" t="s">
        <v>286</v>
      </c>
      <c r="E329" s="148">
        <v>1</v>
      </c>
      <c r="F329" s="148">
        <v>1</v>
      </c>
      <c r="G329" s="148">
        <v>1</v>
      </c>
      <c r="H329" s="158">
        <v>1</v>
      </c>
    </row>
    <row r="330" spans="1:8" ht="61.9" customHeight="1" x14ac:dyDescent="0.2">
      <c r="A330" s="7" t="s">
        <v>596</v>
      </c>
      <c r="B330" s="123" t="s">
        <v>756</v>
      </c>
      <c r="C330" s="123" t="s">
        <v>1057</v>
      </c>
      <c r="D330" s="2" t="s">
        <v>287</v>
      </c>
      <c r="E330" s="148">
        <v>0</v>
      </c>
      <c r="F330" s="148">
        <v>0</v>
      </c>
      <c r="G330" s="148">
        <v>1</v>
      </c>
      <c r="H330" s="148">
        <v>0</v>
      </c>
    </row>
    <row r="331" spans="1:8" ht="61.9" customHeight="1" x14ac:dyDescent="0.2">
      <c r="A331" s="10" t="s">
        <v>597</v>
      </c>
      <c r="B331" s="165" t="s">
        <v>802</v>
      </c>
      <c r="C331" s="165" t="s">
        <v>1058</v>
      </c>
      <c r="D331" s="2" t="s">
        <v>288</v>
      </c>
      <c r="E331" s="148">
        <v>1</v>
      </c>
      <c r="F331" s="148">
        <v>1</v>
      </c>
      <c r="G331" s="148">
        <v>1</v>
      </c>
      <c r="H331" s="148">
        <v>1.0000000000000009</v>
      </c>
    </row>
    <row r="332" spans="1:8" ht="61.9" customHeight="1" x14ac:dyDescent="0.2">
      <c r="A332" s="7" t="s">
        <v>598</v>
      </c>
      <c r="B332" s="124" t="s">
        <v>802</v>
      </c>
      <c r="C332" s="124" t="s">
        <v>1059</v>
      </c>
      <c r="D332" s="1" t="s">
        <v>289</v>
      </c>
      <c r="E332" s="148">
        <v>1</v>
      </c>
      <c r="F332" s="148">
        <v>1</v>
      </c>
      <c r="G332" s="148">
        <v>1</v>
      </c>
      <c r="H332" s="148">
        <v>1.0000000000000009</v>
      </c>
    </row>
    <row r="333" spans="1:8" ht="61.9" customHeight="1" x14ac:dyDescent="0.2">
      <c r="A333" s="7" t="s">
        <v>639</v>
      </c>
      <c r="B333" s="123" t="s">
        <v>756</v>
      </c>
      <c r="C333" s="124" t="s">
        <v>1060</v>
      </c>
      <c r="D333" s="2" t="s">
        <v>650</v>
      </c>
      <c r="E333" s="148">
        <v>1</v>
      </c>
      <c r="F333" s="148">
        <v>1</v>
      </c>
      <c r="G333" s="148">
        <v>1</v>
      </c>
      <c r="H333" s="148">
        <v>1.0000000000000009</v>
      </c>
    </row>
    <row r="334" spans="1:8" ht="61.9" customHeight="1" x14ac:dyDescent="0.45">
      <c r="A334" s="143"/>
      <c r="B334" s="177"/>
      <c r="C334" s="177"/>
      <c r="D334" s="144"/>
      <c r="E334" s="148"/>
      <c r="F334" s="148"/>
      <c r="G334" s="148"/>
      <c r="H334" s="148"/>
    </row>
    <row r="335" spans="1:8" ht="61.9" customHeight="1" x14ac:dyDescent="0.45">
      <c r="A335" s="82" t="s">
        <v>101</v>
      </c>
      <c r="D335" s="83"/>
      <c r="E335" s="153"/>
      <c r="F335" s="154"/>
      <c r="G335" s="155"/>
      <c r="H335" s="153"/>
    </row>
    <row r="336" spans="1:8" ht="61.9" customHeight="1" x14ac:dyDescent="0.2">
      <c r="A336" s="17" t="s">
        <v>599</v>
      </c>
      <c r="B336" s="17" t="s">
        <v>802</v>
      </c>
      <c r="C336" s="17" t="s">
        <v>1061</v>
      </c>
      <c r="D336" s="18" t="s">
        <v>290</v>
      </c>
      <c r="E336" s="148"/>
      <c r="F336" s="148"/>
      <c r="G336" s="148"/>
      <c r="H336" s="148"/>
    </row>
    <row r="337" spans="1:8" ht="61.9" customHeight="1" x14ac:dyDescent="0.2">
      <c r="A337" s="22" t="s">
        <v>600</v>
      </c>
      <c r="B337" s="22" t="s">
        <v>802</v>
      </c>
      <c r="C337" s="22" t="s">
        <v>1062</v>
      </c>
      <c r="D337" s="24" t="s">
        <v>291</v>
      </c>
      <c r="E337" s="23">
        <v>0</v>
      </c>
      <c r="F337" s="23">
        <v>0</v>
      </c>
      <c r="G337" s="23">
        <v>0</v>
      </c>
      <c r="H337" s="23">
        <v>0</v>
      </c>
    </row>
    <row r="338" spans="1:8" ht="61.9" customHeight="1" x14ac:dyDescent="0.2">
      <c r="A338" s="22" t="s">
        <v>601</v>
      </c>
      <c r="B338" s="22" t="s">
        <v>802</v>
      </c>
      <c r="C338" s="22" t="s">
        <v>1063</v>
      </c>
      <c r="D338" s="24" t="s">
        <v>292</v>
      </c>
      <c r="E338" s="23">
        <v>1.0000000000000002</v>
      </c>
      <c r="F338" s="23">
        <v>1.0000000000000002</v>
      </c>
      <c r="G338" s="23">
        <v>0.99999999999999911</v>
      </c>
      <c r="H338" s="23">
        <v>1.0000000000000002</v>
      </c>
    </row>
    <row r="339" spans="1:8" ht="61.9" customHeight="1" x14ac:dyDescent="0.2">
      <c r="A339" s="22" t="s">
        <v>602</v>
      </c>
      <c r="B339" s="22" t="s">
        <v>802</v>
      </c>
      <c r="C339" s="22" t="s">
        <v>1064</v>
      </c>
      <c r="D339" s="24" t="s">
        <v>293</v>
      </c>
      <c r="E339" s="23">
        <v>1.0000000000000002</v>
      </c>
      <c r="F339" s="23">
        <v>0</v>
      </c>
      <c r="G339" s="23">
        <v>0.99999999999999911</v>
      </c>
      <c r="H339" s="23">
        <v>1.0000000000000002</v>
      </c>
    </row>
    <row r="340" spans="1:8" ht="61.9" customHeight="1" x14ac:dyDescent="0.45">
      <c r="A340" s="82" t="s">
        <v>155</v>
      </c>
      <c r="D340" s="83"/>
      <c r="E340" s="153"/>
      <c r="F340" s="154"/>
      <c r="G340" s="155"/>
      <c r="H340" s="153"/>
    </row>
    <row r="341" spans="1:8" ht="61.9" customHeight="1" x14ac:dyDescent="0.2">
      <c r="A341" s="19" t="s">
        <v>630</v>
      </c>
      <c r="B341" s="22" t="s">
        <v>802</v>
      </c>
      <c r="C341" s="22" t="s">
        <v>1065</v>
      </c>
      <c r="D341" s="20" t="s">
        <v>319</v>
      </c>
      <c r="E341" s="23">
        <v>0</v>
      </c>
      <c r="F341" s="23">
        <v>1.0000000000000002</v>
      </c>
      <c r="G341" s="23">
        <v>0.99999999999999911</v>
      </c>
      <c r="H341" s="23">
        <v>1.0000000000000002</v>
      </c>
    </row>
    <row r="342" spans="1:8" ht="61.9" customHeight="1" x14ac:dyDescent="0.2">
      <c r="A342" s="22" t="s">
        <v>603</v>
      </c>
      <c r="B342" s="22" t="s">
        <v>756</v>
      </c>
      <c r="C342" s="22" t="s">
        <v>1066</v>
      </c>
      <c r="D342" s="24" t="s">
        <v>294</v>
      </c>
      <c r="E342" s="23">
        <v>0</v>
      </c>
      <c r="F342" s="23">
        <v>1.0000000000000002</v>
      </c>
      <c r="G342" s="23">
        <v>0.99999999999999911</v>
      </c>
      <c r="H342" s="23">
        <v>1.0000000000000002</v>
      </c>
    </row>
    <row r="343" spans="1:8" ht="61.9" customHeight="1" x14ac:dyDescent="0.2">
      <c r="A343" s="22" t="s">
        <v>604</v>
      </c>
      <c r="B343" s="22" t="s">
        <v>802</v>
      </c>
      <c r="C343" s="22" t="s">
        <v>1067</v>
      </c>
      <c r="D343" s="24" t="s">
        <v>295</v>
      </c>
      <c r="E343" s="23">
        <v>0</v>
      </c>
      <c r="F343" s="23">
        <v>0</v>
      </c>
      <c r="G343" s="23">
        <v>0</v>
      </c>
      <c r="H343" s="23">
        <v>1.0000000000000002</v>
      </c>
    </row>
    <row r="344" spans="1:8" ht="61.9" customHeight="1" x14ac:dyDescent="0.2">
      <c r="A344" s="22" t="s">
        <v>605</v>
      </c>
      <c r="B344" s="22" t="s">
        <v>802</v>
      </c>
      <c r="C344" s="22" t="s">
        <v>1068</v>
      </c>
      <c r="D344" s="24" t="s">
        <v>296</v>
      </c>
      <c r="E344" s="23">
        <v>1.0000000000000002</v>
      </c>
      <c r="F344" s="23">
        <v>1.0000000000000002</v>
      </c>
      <c r="G344" s="23">
        <v>1.0000000000000002</v>
      </c>
      <c r="H344" s="23">
        <v>1.0000000000000002</v>
      </c>
    </row>
    <row r="345" spans="1:8" ht="61.9" customHeight="1" x14ac:dyDescent="0.2">
      <c r="A345" s="22" t="s">
        <v>594</v>
      </c>
      <c r="B345" s="22" t="s">
        <v>756</v>
      </c>
      <c r="C345" s="22" t="s">
        <v>1069</v>
      </c>
      <c r="D345" s="24" t="s">
        <v>637</v>
      </c>
      <c r="E345" s="23">
        <v>1.0000000000000002</v>
      </c>
      <c r="F345" s="23">
        <v>1.0000000000000002</v>
      </c>
      <c r="G345" s="23">
        <v>0.99999999999999911</v>
      </c>
      <c r="H345" s="31">
        <v>0.92</v>
      </c>
    </row>
    <row r="346" spans="1:8" ht="61.9" customHeight="1" x14ac:dyDescent="0.2">
      <c r="A346" s="22" t="s">
        <v>608</v>
      </c>
      <c r="B346" s="22" t="s">
        <v>756</v>
      </c>
      <c r="C346" s="22" t="s">
        <v>1070</v>
      </c>
      <c r="D346" s="24" t="s">
        <v>298</v>
      </c>
      <c r="E346" s="23">
        <v>1.0000000000000002</v>
      </c>
      <c r="F346" s="23">
        <v>1.0000000000000002</v>
      </c>
      <c r="G346" s="23">
        <v>0.99999999999999911</v>
      </c>
      <c r="H346" s="23">
        <v>1.0000000000000002</v>
      </c>
    </row>
    <row r="347" spans="1:8" ht="61.9" customHeight="1" x14ac:dyDescent="0.45">
      <c r="A347" s="82" t="s">
        <v>180</v>
      </c>
      <c r="D347" s="83"/>
      <c r="E347" s="153"/>
      <c r="F347" s="154"/>
      <c r="G347" s="155"/>
      <c r="H347" s="153"/>
    </row>
    <row r="348" spans="1:8" ht="61.9" customHeight="1" x14ac:dyDescent="0.2">
      <c r="A348" s="22" t="s">
        <v>609</v>
      </c>
      <c r="B348" s="22" t="s">
        <v>756</v>
      </c>
      <c r="C348" s="22" t="s">
        <v>1071</v>
      </c>
      <c r="D348" s="24" t="s">
        <v>299</v>
      </c>
      <c r="E348" s="23">
        <v>1.0000000000000002</v>
      </c>
      <c r="F348" s="23">
        <v>1.0000000000000002</v>
      </c>
      <c r="G348" s="23">
        <v>1.0000000000000002</v>
      </c>
      <c r="H348" s="23">
        <v>1.0000000000000002</v>
      </c>
    </row>
    <row r="349" spans="1:8" ht="61.9" customHeight="1" x14ac:dyDescent="0.2">
      <c r="A349" s="22" t="s">
        <v>610</v>
      </c>
      <c r="B349" s="22" t="s">
        <v>820</v>
      </c>
      <c r="C349" s="22" t="s">
        <v>1072</v>
      </c>
      <c r="D349" s="24" t="s">
        <v>300</v>
      </c>
      <c r="E349" s="145">
        <v>0</v>
      </c>
      <c r="F349" s="145">
        <v>0</v>
      </c>
      <c r="G349" s="145">
        <v>0</v>
      </c>
      <c r="H349" s="145">
        <v>0</v>
      </c>
    </row>
    <row r="350" spans="1:8" ht="61.9" customHeight="1" x14ac:dyDescent="0.2">
      <c r="A350" s="22" t="s">
        <v>611</v>
      </c>
      <c r="B350" s="22"/>
      <c r="C350" s="22"/>
      <c r="D350" s="24" t="s">
        <v>301</v>
      </c>
      <c r="E350" s="23">
        <v>1.0000000000000002</v>
      </c>
      <c r="F350" s="22">
        <v>1.0000000000000002</v>
      </c>
      <c r="G350" s="22">
        <v>0.99999999999999911</v>
      </c>
      <c r="H350" s="23">
        <v>1.0000000000000002</v>
      </c>
    </row>
    <row r="351" spans="1:8" ht="61.9" customHeight="1" x14ac:dyDescent="0.2">
      <c r="A351" s="22" t="s">
        <v>612</v>
      </c>
      <c r="B351" s="22" t="s">
        <v>802</v>
      </c>
      <c r="C351" s="22" t="s">
        <v>1073</v>
      </c>
      <c r="D351" s="24" t="s">
        <v>302</v>
      </c>
      <c r="E351" s="23">
        <v>1.0000000000000002</v>
      </c>
      <c r="F351" s="22">
        <v>1.0000000000000002</v>
      </c>
      <c r="G351" s="22">
        <v>0.99999999999999911</v>
      </c>
      <c r="H351" s="23">
        <v>1.0000000000000002</v>
      </c>
    </row>
    <row r="352" spans="1:8" ht="61.9" customHeight="1" x14ac:dyDescent="0.2">
      <c r="A352" s="22" t="s">
        <v>613</v>
      </c>
      <c r="B352" s="22" t="s">
        <v>756</v>
      </c>
      <c r="C352" s="22" t="s">
        <v>1074</v>
      </c>
      <c r="D352" s="24" t="s">
        <v>303</v>
      </c>
      <c r="E352" s="23">
        <v>1.0000000000000002</v>
      </c>
      <c r="F352" s="22">
        <v>1.0000000000000002</v>
      </c>
      <c r="G352" s="22">
        <v>0.99999999999999911</v>
      </c>
      <c r="H352" s="23">
        <v>1.0000000000000002</v>
      </c>
    </row>
    <row r="353" spans="1:8" ht="61.9" customHeight="1" x14ac:dyDescent="0.2">
      <c r="A353" s="22" t="s">
        <v>616</v>
      </c>
      <c r="B353" s="22" t="s">
        <v>756</v>
      </c>
      <c r="C353" s="22" t="s">
        <v>1075</v>
      </c>
      <c r="D353" s="24" t="s">
        <v>305</v>
      </c>
      <c r="E353" s="23">
        <v>1.0000000000000002</v>
      </c>
      <c r="F353" s="22">
        <v>1.0000000000000002</v>
      </c>
      <c r="G353" s="22">
        <v>0.99999999999999911</v>
      </c>
      <c r="H353" s="23">
        <v>1.0000000000000002</v>
      </c>
    </row>
    <row r="354" spans="1:8" ht="61.9" customHeight="1" x14ac:dyDescent="0.45">
      <c r="A354" s="84" t="s">
        <v>192</v>
      </c>
      <c r="D354" s="85"/>
      <c r="E354" s="153"/>
      <c r="F354" s="154"/>
      <c r="G354" s="155"/>
      <c r="H354" s="153"/>
    </row>
    <row r="355" spans="1:8" ht="61.9" customHeight="1" x14ac:dyDescent="0.2">
      <c r="A355" s="19" t="s">
        <v>617</v>
      </c>
      <c r="B355" s="179" t="s">
        <v>756</v>
      </c>
      <c r="C355" s="179" t="s">
        <v>1076</v>
      </c>
      <c r="D355" s="24" t="s">
        <v>306</v>
      </c>
      <c r="E355" s="23">
        <v>1</v>
      </c>
      <c r="F355" s="22">
        <v>1</v>
      </c>
      <c r="G355" s="22">
        <v>1</v>
      </c>
      <c r="H355" s="23">
        <v>1</v>
      </c>
    </row>
    <row r="356" spans="1:8" ht="61.9" customHeight="1" x14ac:dyDescent="0.2">
      <c r="A356" s="22" t="s">
        <v>615</v>
      </c>
      <c r="B356" s="180" t="s">
        <v>756</v>
      </c>
      <c r="C356" s="180" t="s">
        <v>1077</v>
      </c>
      <c r="D356" s="24" t="s">
        <v>304</v>
      </c>
      <c r="E356" s="23">
        <v>1.0000000000000002</v>
      </c>
      <c r="F356" s="22">
        <v>1.0000000000000002</v>
      </c>
      <c r="G356" s="22">
        <v>0.99999999999999911</v>
      </c>
      <c r="H356" s="23">
        <v>1.0000000000000002</v>
      </c>
    </row>
    <row r="357" spans="1:8" ht="61.9" customHeight="1" x14ac:dyDescent="0.45">
      <c r="A357" s="84" t="s">
        <v>208</v>
      </c>
      <c r="D357" s="85"/>
      <c r="E357" s="153"/>
      <c r="F357" s="154"/>
      <c r="G357" s="155"/>
      <c r="H357" s="153"/>
    </row>
    <row r="358" spans="1:8" ht="61.9" customHeight="1" x14ac:dyDescent="0.2">
      <c r="A358" s="19" t="s">
        <v>618</v>
      </c>
      <c r="B358" s="179" t="s">
        <v>802</v>
      </c>
      <c r="C358" s="179" t="s">
        <v>1078</v>
      </c>
      <c r="D358" s="24" t="s">
        <v>307</v>
      </c>
      <c r="E358" s="23">
        <v>1.0000000000000002</v>
      </c>
      <c r="F358" s="22">
        <v>1.0000000000000002</v>
      </c>
      <c r="G358" s="22">
        <v>0.99999999999999911</v>
      </c>
      <c r="H358" s="23">
        <v>1.0000000000000002</v>
      </c>
    </row>
    <row r="359" spans="1:8" ht="61.9" customHeight="1" x14ac:dyDescent="0.2">
      <c r="A359" s="22" t="s">
        <v>619</v>
      </c>
      <c r="B359" s="181"/>
      <c r="C359" s="181"/>
      <c r="D359" s="23" t="s">
        <v>308</v>
      </c>
      <c r="E359" s="30">
        <v>0.28000000000000003</v>
      </c>
      <c r="F359" s="30">
        <v>0.28999999999999998</v>
      </c>
      <c r="G359" s="22">
        <v>0</v>
      </c>
      <c r="H359" s="30">
        <v>0.53</v>
      </c>
    </row>
    <row r="360" spans="1:8" ht="61.9" customHeight="1" x14ac:dyDescent="0.2">
      <c r="A360" s="19" t="s">
        <v>620</v>
      </c>
      <c r="B360" s="179" t="s">
        <v>756</v>
      </c>
      <c r="C360" s="179" t="s">
        <v>1079</v>
      </c>
      <c r="D360" s="20" t="s">
        <v>309</v>
      </c>
      <c r="E360" s="23">
        <v>1.0000000000000002</v>
      </c>
      <c r="F360" s="22">
        <v>1.0000000000000002</v>
      </c>
      <c r="G360" s="22">
        <v>1.0000000000000002</v>
      </c>
      <c r="H360" s="23">
        <v>0.53</v>
      </c>
    </row>
    <row r="361" spans="1:8" ht="61.9" customHeight="1" x14ac:dyDescent="0.2">
      <c r="A361" s="22" t="s">
        <v>607</v>
      </c>
      <c r="B361" s="179" t="s">
        <v>756</v>
      </c>
      <c r="C361" s="179" t="s">
        <v>1080</v>
      </c>
      <c r="D361" s="24" t="s">
        <v>297</v>
      </c>
      <c r="E361" s="23">
        <v>1.0000000000000002</v>
      </c>
      <c r="F361" s="22">
        <v>0</v>
      </c>
      <c r="G361" s="22">
        <v>0.99999999999999911</v>
      </c>
      <c r="H361" s="23">
        <v>1.0000000000000002</v>
      </c>
    </row>
    <row r="362" spans="1:8" ht="61.9" customHeight="1" x14ac:dyDescent="0.2">
      <c r="A362" s="22" t="s">
        <v>625</v>
      </c>
      <c r="B362" s="179" t="s">
        <v>756</v>
      </c>
      <c r="C362" s="179" t="s">
        <v>1081</v>
      </c>
      <c r="D362" s="23" t="s">
        <v>314</v>
      </c>
      <c r="E362" s="23">
        <v>1.0000000000000002</v>
      </c>
      <c r="F362" s="22">
        <v>1.0000000000000002</v>
      </c>
      <c r="G362" s="22">
        <v>0.99999999999999911</v>
      </c>
      <c r="H362" s="23">
        <v>1.0000000000000002</v>
      </c>
    </row>
    <row r="363" spans="1:8" ht="61.9" customHeight="1" x14ac:dyDescent="0.2">
      <c r="A363" s="22" t="s">
        <v>621</v>
      </c>
      <c r="B363" s="179" t="s">
        <v>756</v>
      </c>
      <c r="C363" s="179" t="s">
        <v>1082</v>
      </c>
      <c r="D363" s="24" t="s">
        <v>310</v>
      </c>
      <c r="E363" s="23">
        <v>1.0000000000000002</v>
      </c>
      <c r="F363" s="22">
        <v>1.0000000000000002</v>
      </c>
      <c r="G363" s="22">
        <v>0.99999999999999911</v>
      </c>
      <c r="H363" s="23">
        <v>1.0000000000000002</v>
      </c>
    </row>
    <row r="364" spans="1:8" ht="61.9" customHeight="1" x14ac:dyDescent="0.2">
      <c r="A364" s="19" t="s">
        <v>635</v>
      </c>
      <c r="B364" s="179" t="s">
        <v>756</v>
      </c>
      <c r="C364" s="179" t="s">
        <v>1083</v>
      </c>
      <c r="D364" s="20" t="s">
        <v>324</v>
      </c>
      <c r="E364" s="23">
        <v>0.79</v>
      </c>
      <c r="F364" s="22">
        <v>0</v>
      </c>
      <c r="G364" s="22">
        <v>0</v>
      </c>
      <c r="H364" s="23">
        <v>1.0000000000000002</v>
      </c>
    </row>
    <row r="365" spans="1:8" ht="61.9" customHeight="1" x14ac:dyDescent="0.45">
      <c r="A365" s="84" t="s">
        <v>216</v>
      </c>
      <c r="D365" s="85"/>
      <c r="E365" s="153"/>
      <c r="F365" s="154"/>
      <c r="G365" s="155"/>
      <c r="H365" s="153"/>
    </row>
    <row r="366" spans="1:8" ht="61.9" customHeight="1" x14ac:dyDescent="0.2">
      <c r="A366" s="19" t="s">
        <v>622</v>
      </c>
      <c r="B366" s="182" t="s">
        <v>802</v>
      </c>
      <c r="C366" s="124" t="s">
        <v>1084</v>
      </c>
      <c r="D366" s="24" t="s">
        <v>311</v>
      </c>
      <c r="E366" s="23">
        <v>1.0000000000000002</v>
      </c>
      <c r="F366" s="23">
        <v>1.0000000000000002</v>
      </c>
      <c r="G366" s="23">
        <v>0.99999999999999911</v>
      </c>
      <c r="H366" s="23">
        <v>1.0000000000000002</v>
      </c>
    </row>
    <row r="367" spans="1:8" ht="61.9" customHeight="1" x14ac:dyDescent="0.2">
      <c r="A367" s="22" t="s">
        <v>623</v>
      </c>
      <c r="B367" s="183" t="s">
        <v>756</v>
      </c>
      <c r="C367" s="124" t="s">
        <v>1085</v>
      </c>
      <c r="D367" s="23" t="s">
        <v>312</v>
      </c>
      <c r="E367" s="23">
        <v>1.0000000000000002</v>
      </c>
      <c r="F367" s="23">
        <v>1.0000000000000002</v>
      </c>
      <c r="G367" s="23">
        <v>0.99999999999999911</v>
      </c>
      <c r="H367" s="23">
        <v>0</v>
      </c>
    </row>
    <row r="368" spans="1:8" ht="61.9" customHeight="1" x14ac:dyDescent="0.2">
      <c r="A368" s="22" t="s">
        <v>624</v>
      </c>
      <c r="B368" s="183" t="s">
        <v>756</v>
      </c>
      <c r="C368" s="124" t="s">
        <v>1086</v>
      </c>
      <c r="D368" s="23" t="s">
        <v>313</v>
      </c>
      <c r="E368" s="23">
        <v>1.0000000000000002</v>
      </c>
      <c r="F368" s="23">
        <v>1.0000000000000002</v>
      </c>
      <c r="G368" s="23">
        <v>0.99999999999999911</v>
      </c>
      <c r="H368" s="23">
        <v>1.0000000000000002</v>
      </c>
    </row>
    <row r="369" spans="1:8" ht="61.9" customHeight="1" x14ac:dyDescent="0.2">
      <c r="A369" s="22" t="s">
        <v>536</v>
      </c>
      <c r="B369" s="183" t="s">
        <v>756</v>
      </c>
      <c r="C369" s="124" t="s">
        <v>1087</v>
      </c>
      <c r="D369" s="23" t="s">
        <v>221</v>
      </c>
      <c r="E369" s="23">
        <v>1.0000000000000002</v>
      </c>
      <c r="F369" s="23">
        <v>1.0000000000000002</v>
      </c>
      <c r="G369" s="23">
        <v>0.99999999999999911</v>
      </c>
      <c r="H369" s="23">
        <v>0</v>
      </c>
    </row>
    <row r="370" spans="1:8" ht="61.9" customHeight="1" x14ac:dyDescent="0.45">
      <c r="A370" s="84" t="s">
        <v>261</v>
      </c>
      <c r="D370" s="85"/>
      <c r="E370" s="153"/>
      <c r="F370" s="154"/>
      <c r="G370" s="155"/>
      <c r="H370" s="153"/>
    </row>
    <row r="371" spans="1:8" ht="61.9" customHeight="1" x14ac:dyDescent="0.2">
      <c r="A371" s="22" t="s">
        <v>626</v>
      </c>
      <c r="B371" s="181" t="s">
        <v>802</v>
      </c>
      <c r="C371" s="181" t="s">
        <v>1088</v>
      </c>
      <c r="D371" s="23" t="s">
        <v>315</v>
      </c>
      <c r="E371" s="31">
        <v>0.62</v>
      </c>
      <c r="F371" s="23">
        <v>1.0000000000000002</v>
      </c>
      <c r="G371" s="23">
        <v>0.99999999999999911</v>
      </c>
      <c r="H371" s="23">
        <v>1.0000000000000002</v>
      </c>
    </row>
    <row r="372" spans="1:8" ht="61.9" customHeight="1" x14ac:dyDescent="0.2">
      <c r="A372" s="17" t="s">
        <v>627</v>
      </c>
      <c r="B372" s="184"/>
      <c r="C372" s="184"/>
      <c r="D372" s="18" t="s">
        <v>316</v>
      </c>
      <c r="E372" s="18"/>
      <c r="F372" s="18"/>
      <c r="G372" s="18"/>
      <c r="H372" s="18"/>
    </row>
    <row r="373" spans="1:8" ht="61.9" customHeight="1" x14ac:dyDescent="0.2">
      <c r="A373" s="19" t="s">
        <v>628</v>
      </c>
      <c r="B373" s="179" t="s">
        <v>756</v>
      </c>
      <c r="C373" s="179" t="s">
        <v>1089</v>
      </c>
      <c r="D373" s="20" t="s">
        <v>317</v>
      </c>
      <c r="E373" s="23">
        <v>1.0000000000000002</v>
      </c>
      <c r="F373" s="23">
        <v>1.0000000000000002</v>
      </c>
      <c r="G373" s="23">
        <v>0.99999999999999911</v>
      </c>
      <c r="H373" s="23">
        <v>1.0000000000000002</v>
      </c>
    </row>
    <row r="374" spans="1:8" ht="61.9" customHeight="1" x14ac:dyDescent="0.2">
      <c r="A374" s="22" t="s">
        <v>629</v>
      </c>
      <c r="B374" s="181" t="s">
        <v>802</v>
      </c>
      <c r="C374" s="181" t="s">
        <v>1090</v>
      </c>
      <c r="D374" s="23" t="s">
        <v>318</v>
      </c>
      <c r="E374" s="23">
        <v>0</v>
      </c>
      <c r="F374" s="23">
        <v>1.0000000000000002</v>
      </c>
      <c r="G374" s="31">
        <v>0.46</v>
      </c>
      <c r="H374" s="23">
        <v>1.0000000000000002</v>
      </c>
    </row>
    <row r="375" spans="1:8" ht="61.9" customHeight="1" x14ac:dyDescent="0.45">
      <c r="A375" s="84" t="s">
        <v>232</v>
      </c>
      <c r="D375" s="85"/>
      <c r="E375" s="153"/>
      <c r="F375" s="154"/>
      <c r="G375" s="155"/>
      <c r="H375" s="153"/>
    </row>
    <row r="376" spans="1:8" ht="61.9" customHeight="1" x14ac:dyDescent="0.2">
      <c r="A376" s="19" t="s">
        <v>631</v>
      </c>
      <c r="B376" s="179" t="s">
        <v>802</v>
      </c>
      <c r="C376" s="179" t="s">
        <v>1091</v>
      </c>
      <c r="D376" s="20" t="s">
        <v>320</v>
      </c>
      <c r="E376" s="145">
        <v>0</v>
      </c>
      <c r="F376" s="145">
        <v>0</v>
      </c>
      <c r="G376" s="145">
        <v>0</v>
      </c>
      <c r="H376" s="145">
        <v>0</v>
      </c>
    </row>
    <row r="377" spans="1:8" ht="61.9" customHeight="1" x14ac:dyDescent="0.2">
      <c r="A377" s="21" t="s">
        <v>632</v>
      </c>
      <c r="B377" s="180" t="s">
        <v>802</v>
      </c>
      <c r="C377" s="180" t="s">
        <v>1092</v>
      </c>
      <c r="D377" s="20" t="s">
        <v>321</v>
      </c>
      <c r="E377" s="148">
        <v>0.69999999999999984</v>
      </c>
      <c r="F377" s="148">
        <v>0.83</v>
      </c>
      <c r="G377" s="23">
        <v>0.99999999999999911</v>
      </c>
      <c r="H377" s="23">
        <v>1.0000000000000002</v>
      </c>
    </row>
    <row r="378" spans="1:8" ht="61.9" customHeight="1" x14ac:dyDescent="0.2">
      <c r="A378" s="21" t="s">
        <v>633</v>
      </c>
      <c r="B378" s="179" t="s">
        <v>756</v>
      </c>
      <c r="C378" s="180" t="s">
        <v>1093</v>
      </c>
      <c r="D378" s="20" t="s">
        <v>322</v>
      </c>
      <c r="E378" s="23">
        <v>1.0000000000000002</v>
      </c>
      <c r="F378" s="23">
        <v>1.0000000000000002</v>
      </c>
      <c r="G378" s="23">
        <v>0.99999999999999911</v>
      </c>
      <c r="H378" s="23">
        <v>1.0000000000000002</v>
      </c>
    </row>
    <row r="379" spans="1:8" ht="61.9" customHeight="1" x14ac:dyDescent="0.2">
      <c r="A379" s="22" t="s">
        <v>634</v>
      </c>
      <c r="B379" s="16"/>
      <c r="C379" s="16"/>
      <c r="D379" s="20" t="s">
        <v>323</v>
      </c>
      <c r="E379" s="23">
        <v>1.0000000000000002</v>
      </c>
      <c r="F379" s="23">
        <v>1.0000000000000002</v>
      </c>
      <c r="G379" s="23">
        <v>0.99999999999999911</v>
      </c>
      <c r="H379" s="23">
        <v>1.0000000000000002</v>
      </c>
    </row>
    <row r="380" spans="1:8" ht="66" customHeight="1" x14ac:dyDescent="0.2">
      <c r="A380" s="33"/>
      <c r="B380" s="16"/>
      <c r="C380" s="16"/>
      <c r="D380" s="34"/>
      <c r="E380" s="148"/>
      <c r="F380" s="148"/>
      <c r="G380" s="148"/>
      <c r="H380" s="148"/>
    </row>
    <row r="381" spans="1:8" ht="66" customHeight="1" x14ac:dyDescent="0.2">
      <c r="A381" s="27"/>
      <c r="B381" s="17"/>
      <c r="C381" s="17"/>
      <c r="D381" s="29"/>
      <c r="E381" s="148"/>
      <c r="F381" s="148"/>
      <c r="G381" s="148"/>
      <c r="H381" s="148"/>
    </row>
    <row r="382" spans="1:8" ht="66" customHeight="1" x14ac:dyDescent="0.45">
      <c r="A382" s="16"/>
      <c r="D382" s="26"/>
      <c r="E382" s="148"/>
      <c r="F382" s="148"/>
      <c r="G382" s="148"/>
      <c r="H382" s="148"/>
    </row>
    <row r="383" spans="1:8" ht="66" customHeight="1" x14ac:dyDescent="0.45">
      <c r="A383" s="16"/>
      <c r="D383" s="26"/>
      <c r="E383" s="148"/>
      <c r="F383" s="148"/>
      <c r="G383" s="148"/>
      <c r="H383" s="148"/>
    </row>
    <row r="384" spans="1:8" ht="66" customHeight="1" x14ac:dyDescent="0.2">
      <c r="A384" s="17"/>
      <c r="B384" s="27"/>
      <c r="C384" s="27"/>
      <c r="D384" s="18"/>
      <c r="E384" s="148"/>
      <c r="F384" s="148"/>
      <c r="G384" s="148"/>
      <c r="H384" s="148"/>
    </row>
    <row r="385" spans="1:8" ht="75.599999999999994" customHeight="1" x14ac:dyDescent="0.2">
      <c r="A385" s="7" t="s">
        <v>646</v>
      </c>
      <c r="B385" s="182" t="s">
        <v>802</v>
      </c>
      <c r="C385" s="124" t="s">
        <v>1094</v>
      </c>
      <c r="D385" s="2" t="s">
        <v>652</v>
      </c>
      <c r="E385" s="148"/>
      <c r="F385" s="148"/>
      <c r="G385" s="148"/>
      <c r="H385" s="148"/>
    </row>
    <row r="386" spans="1:8" ht="75.599999999999994" customHeight="1" x14ac:dyDescent="0.2">
      <c r="A386" s="7" t="s">
        <v>415</v>
      </c>
      <c r="B386" s="182" t="s">
        <v>802</v>
      </c>
      <c r="C386" s="124" t="s">
        <v>1095</v>
      </c>
      <c r="D386" s="2" t="s">
        <v>653</v>
      </c>
      <c r="E386" s="148"/>
      <c r="F386" s="148"/>
      <c r="G386" s="148"/>
      <c r="H386" s="148">
        <v>1</v>
      </c>
    </row>
    <row r="387" spans="1:8" ht="75.599999999999994" customHeight="1" x14ac:dyDescent="0.45"/>
  </sheetData>
  <phoneticPr fontId="36" type="noConversion"/>
  <conditionalFormatting sqref="E23:F26">
    <cfRule type="expression" priority="49">
      <formula>AND(#REF!&gt;0,#REF!&lt;1)</formula>
    </cfRule>
  </conditionalFormatting>
  <conditionalFormatting sqref="E377:F377">
    <cfRule type="expression" dxfId="71" priority="11">
      <formula>AND(E377&gt;0,E377&lt;1)</formula>
    </cfRule>
  </conditionalFormatting>
  <conditionalFormatting sqref="E246:G246 E247:H247">
    <cfRule type="expression" dxfId="70" priority="27">
      <formula>AND(E246&gt;0,E246&lt;1)</formula>
    </cfRule>
  </conditionalFormatting>
  <conditionalFormatting sqref="E35:H40 G62:H62">
    <cfRule type="expression" dxfId="69" priority="42">
      <formula>AND(E35&gt;0,E35&lt;1)</formula>
    </cfRule>
  </conditionalFormatting>
  <conditionalFormatting sqref="E35:H40">
    <cfRule type="expression" dxfId="68" priority="43">
      <formula>AND(E35&gt;0,#REF!&lt;0)</formula>
    </cfRule>
  </conditionalFormatting>
  <conditionalFormatting sqref="E42:H49">
    <cfRule type="expression" dxfId="67" priority="22">
      <formula>AND(E42&gt;0,E42&lt;1)</formula>
    </cfRule>
  </conditionalFormatting>
  <conditionalFormatting sqref="E51:H52">
    <cfRule type="expression" dxfId="66" priority="41">
      <formula>AND(E51&gt;0,E51&lt;1)</formula>
    </cfRule>
  </conditionalFormatting>
  <conditionalFormatting sqref="E54:H61">
    <cfRule type="expression" dxfId="65" priority="40">
      <formula>AND(E54&gt;0,E54&lt;1)</formula>
    </cfRule>
  </conditionalFormatting>
  <conditionalFormatting sqref="E63:H63 E65:H69 E71:F71 E72:H84 E187:H195 E207:H207 E242:H245 E302:H312">
    <cfRule type="expression" dxfId="64" priority="13">
      <formula>AND(E63&gt;0,E63&lt;1)</formula>
    </cfRule>
  </conditionalFormatting>
  <conditionalFormatting sqref="E87:H112 F113:H113 E114:H118">
    <cfRule type="expression" dxfId="63" priority="39">
      <formula>AND(E87&gt;0,E87&lt;1)</formula>
    </cfRule>
  </conditionalFormatting>
  <conditionalFormatting sqref="E121:H122 G123:H123 E124:H137 E138:G138 E139:H145">
    <cfRule type="expression" dxfId="62" priority="38">
      <formula>AND(E121&gt;0,E121&lt;1)</formula>
    </cfRule>
  </conditionalFormatting>
  <conditionalFormatting sqref="E148:H150">
    <cfRule type="expression" dxfId="61" priority="37">
      <formula>AND(E148&gt;0,E148&lt;1)</formula>
    </cfRule>
  </conditionalFormatting>
  <conditionalFormatting sqref="E152:H154 E197:H203 G204:H204 E210:H211 E213:H213 E215:H222 E224:H231 E233:H239 E249:H249 E251:H251 E253:H260 E271:H277 E278 G278:H278 E279:H279 E294:F294 H294 E296:H296 E298:H299 G301:H301 E318:H328 E329:G329 E330:H333 E385:H386">
    <cfRule type="expression" dxfId="60" priority="44">
      <formula>AND(E152&gt;0,E152&lt;1)</formula>
    </cfRule>
  </conditionalFormatting>
  <conditionalFormatting sqref="E160:H163">
    <cfRule type="expression" dxfId="59" priority="28">
      <formula>AND(E160&gt;0,E160&lt;1)</formula>
    </cfRule>
  </conditionalFormatting>
  <conditionalFormatting sqref="E205:H205 G206:H207">
    <cfRule type="expression" dxfId="58" priority="35">
      <formula>AND(E205&gt;0,E205&lt;1)</formula>
    </cfRule>
  </conditionalFormatting>
  <conditionalFormatting sqref="E262:H265 E267:H269">
    <cfRule type="expression" dxfId="57" priority="14">
      <formula>AND(E262&gt;0,E262&lt;1)</formula>
    </cfRule>
  </conditionalFormatting>
  <conditionalFormatting sqref="E281:H291">
    <cfRule type="expression" dxfId="56" priority="34">
      <formula>AND(E281&gt;0,E281&lt;1)</formula>
    </cfRule>
  </conditionalFormatting>
  <conditionalFormatting sqref="E315:H316">
    <cfRule type="expression" dxfId="55" priority="33">
      <formula>AND(E315&gt;0,E315&lt;1)</formula>
    </cfRule>
  </conditionalFormatting>
  <conditionalFormatting sqref="E381:H381">
    <cfRule type="expression" dxfId="54" priority="48">
      <formula>AND(E222&gt;0,E222&lt;1)</formula>
    </cfRule>
  </conditionalFormatting>
  <conditionalFormatting sqref="E382:H383">
    <cfRule type="expression" dxfId="53" priority="24">
      <formula>AND(E382&gt;0,E382&lt;1)</formula>
    </cfRule>
  </conditionalFormatting>
  <conditionalFormatting sqref="E214:H214">
    <cfRule type="expression" dxfId="52" priority="12">
      <formula>AND(E214&gt;0,E214&lt;1)</formula>
    </cfRule>
  </conditionalFormatting>
  <conditionalFormatting sqref="E380:H380">
    <cfRule type="expression" dxfId="51" priority="46">
      <formula>AND(E365&gt;0,E365&lt;1)</formula>
    </cfRule>
  </conditionalFormatting>
  <conditionalFormatting sqref="E349:H349">
    <cfRule type="expression" dxfId="50" priority="20">
      <formula>AND(E349&gt;0,E349&lt;1)</formula>
    </cfRule>
  </conditionalFormatting>
  <conditionalFormatting sqref="F172:H172">
    <cfRule type="expression" dxfId="49" priority="10">
      <formula>AND(F172&gt;0,F172&lt;1)</formula>
    </cfRule>
  </conditionalFormatting>
  <conditionalFormatting sqref="G23:H26">
    <cfRule type="expression" priority="50">
      <formula>AND(XCZ23&gt;0,XCZ23&lt;1)</formula>
    </cfRule>
  </conditionalFormatting>
  <conditionalFormatting sqref="G42:H49">
    <cfRule type="expression" dxfId="48" priority="23">
      <formula>AND(G42&gt;0,#REF!&lt;0)</formula>
    </cfRule>
  </conditionalFormatting>
  <conditionalFormatting sqref="G181:H181 E183:H184 E185:F185 H185 G186:H186">
    <cfRule type="expression" dxfId="47" priority="36">
      <formula>AND(E181&gt;0,E181&lt;1)</formula>
    </cfRule>
  </conditionalFormatting>
  <conditionalFormatting sqref="G376:H376 E380:H381">
    <cfRule type="expression" dxfId="46" priority="32">
      <formula>AND(E376&gt;0,E376&lt;1)</formula>
    </cfRule>
  </conditionalFormatting>
  <conditionalFormatting sqref="G376:H376">
    <cfRule type="expression" dxfId="45" priority="31">
      <formula>AND(#REF!&gt;0,#REF!&lt;1)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G451"/>
  <sheetViews>
    <sheetView rightToLeft="1" view="pageBreakPreview" topLeftCell="A205" zoomScale="20" zoomScaleNormal="20" zoomScaleSheetLayoutView="20" workbookViewId="0">
      <selection activeCell="H66" sqref="H66"/>
    </sheetView>
  </sheetViews>
  <sheetFormatPr defaultColWidth="9.125" defaultRowHeight="138.75" x14ac:dyDescent="1.8"/>
  <cols>
    <col min="1" max="1" width="11" style="131" customWidth="1"/>
    <col min="2" max="2" width="49.75" style="131" customWidth="1"/>
    <col min="3" max="3" width="155.375" style="131" customWidth="1"/>
    <col min="4" max="4" width="100.625" style="131" customWidth="1"/>
    <col min="5" max="5" width="164.625" style="131" customWidth="1"/>
    <col min="6" max="6" width="149" style="131" customWidth="1"/>
    <col min="7" max="7" width="114.25" style="131" customWidth="1"/>
    <col min="8" max="16384" width="9.125" style="131"/>
  </cols>
  <sheetData>
    <row r="1" spans="2:7" ht="122.45" customHeight="1" x14ac:dyDescent="1.8">
      <c r="B1" s="194" t="s">
        <v>838</v>
      </c>
      <c r="C1" s="194"/>
      <c r="D1" s="194"/>
      <c r="E1" s="194"/>
      <c r="F1" s="194"/>
      <c r="G1" s="194"/>
    </row>
    <row r="3" spans="2:7" ht="165.6" customHeight="1" x14ac:dyDescent="1.9">
      <c r="B3" s="193" t="s">
        <v>672</v>
      </c>
      <c r="C3" s="193"/>
      <c r="D3" s="132"/>
      <c r="E3" s="132"/>
      <c r="F3" s="132"/>
      <c r="G3" s="133"/>
    </row>
    <row r="4" spans="2:7" ht="165.6" customHeight="1" x14ac:dyDescent="1.8">
      <c r="B4" s="193"/>
      <c r="C4" s="193"/>
      <c r="D4" s="134" t="s">
        <v>707</v>
      </c>
      <c r="E4" s="135" t="s">
        <v>708</v>
      </c>
      <c r="F4" s="135" t="s">
        <v>709</v>
      </c>
      <c r="G4" s="136" t="s">
        <v>710</v>
      </c>
    </row>
    <row r="5" spans="2:7" ht="165.6" customHeight="1" x14ac:dyDescent="1.8">
      <c r="B5" s="137" t="s">
        <v>711</v>
      </c>
      <c r="C5" s="137" t="s">
        <v>712</v>
      </c>
      <c r="D5" s="138"/>
      <c r="E5" s="138"/>
      <c r="F5" s="138"/>
      <c r="G5" s="139"/>
    </row>
    <row r="6" spans="2:7" ht="165.6" customHeight="1" x14ac:dyDescent="1.8">
      <c r="B6" s="140" t="str">
        <f>Employees!A2</f>
        <v>01</v>
      </c>
      <c r="C6" s="137" t="str">
        <f>Employees!D2</f>
        <v>بوقطاية عزالدين</v>
      </c>
      <c r="D6" s="141" t="e">
        <f>Employees!#REF!</f>
        <v>#REF!</v>
      </c>
      <c r="E6" s="139"/>
      <c r="F6" s="142"/>
      <c r="G6" s="139"/>
    </row>
    <row r="7" spans="2:7" ht="165.6" customHeight="1" x14ac:dyDescent="1.8">
      <c r="B7" s="140" t="str">
        <f>Employees!A3</f>
        <v>02</v>
      </c>
      <c r="C7" s="137" t="str">
        <f>Employees!D3</f>
        <v>مدلل طارق</v>
      </c>
      <c r="D7" s="141" t="e">
        <f>Employees!#REF!</f>
        <v>#REF!</v>
      </c>
      <c r="E7" s="139"/>
      <c r="F7" s="142"/>
      <c r="G7" s="139"/>
    </row>
    <row r="8" spans="2:7" ht="165.6" customHeight="1" x14ac:dyDescent="1.8">
      <c r="B8" s="140" t="str">
        <f>Employees!A4</f>
        <v>04</v>
      </c>
      <c r="C8" s="137" t="str">
        <f>Employees!D4</f>
        <v>مسعي محمد البشير</v>
      </c>
      <c r="D8" s="141" t="e">
        <f>Employees!#REF!</f>
        <v>#REF!</v>
      </c>
      <c r="E8" s="139"/>
      <c r="F8" s="142"/>
      <c r="G8" s="139"/>
    </row>
    <row r="9" spans="2:7" ht="165.6" customHeight="1" x14ac:dyDescent="1.8">
      <c r="B9" s="140" t="str">
        <f>Employees!A5</f>
        <v>06</v>
      </c>
      <c r="C9" s="137" t="str">
        <f>Employees!D5</f>
        <v>بوقطاية محمد انور</v>
      </c>
      <c r="D9" s="141" t="e">
        <f>Employees!#REF!</f>
        <v>#REF!</v>
      </c>
      <c r="E9" s="139"/>
      <c r="F9" s="142"/>
      <c r="G9" s="139"/>
    </row>
    <row r="10" spans="2:7" ht="165.6" customHeight="1" x14ac:dyDescent="1.8">
      <c r="B10" s="140" t="str">
        <f>Employees!A6</f>
        <v>7</v>
      </c>
      <c r="C10" s="137" t="str">
        <f>Employees!D6</f>
        <v>دهيمي عمار</v>
      </c>
      <c r="D10" s="141" t="e">
        <f>Employees!#REF!</f>
        <v>#REF!</v>
      </c>
      <c r="E10" s="139"/>
      <c r="F10" s="142"/>
      <c r="G10" s="139"/>
    </row>
    <row r="11" spans="2:7" ht="165.6" customHeight="1" x14ac:dyDescent="1.8">
      <c r="B11" s="140" t="str">
        <f>Employees!A7</f>
        <v>8</v>
      </c>
      <c r="C11" s="137" t="str">
        <f>Employees!D7</f>
        <v>احميد راتب</v>
      </c>
      <c r="D11" s="141" t="e">
        <f>Employees!#REF!</f>
        <v>#REF!</v>
      </c>
      <c r="E11" s="139"/>
      <c r="F11" s="142"/>
      <c r="G11" s="139"/>
    </row>
    <row r="12" spans="2:7" ht="165.6" customHeight="1" x14ac:dyDescent="1.8">
      <c r="B12" s="140" t="str">
        <f>Employees!A8</f>
        <v>10</v>
      </c>
      <c r="C12" s="137" t="str">
        <f>Employees!D8</f>
        <v>شبرو عبد الرحمن</v>
      </c>
      <c r="D12" s="141" t="e">
        <f>Employees!#REF!</f>
        <v>#REF!</v>
      </c>
      <c r="E12" s="139"/>
      <c r="F12" s="142"/>
      <c r="G12" s="139"/>
    </row>
    <row r="13" spans="2:7" ht="165.6" customHeight="1" x14ac:dyDescent="1.8">
      <c r="B13" s="140" t="str">
        <f>Employees!A9</f>
        <v>11</v>
      </c>
      <c r="C13" s="137" t="str">
        <f>Employees!D9</f>
        <v>خليل عبد الحميد</v>
      </c>
      <c r="D13" s="141" t="e">
        <f>Employees!#REF!</f>
        <v>#REF!</v>
      </c>
      <c r="E13" s="139"/>
      <c r="F13" s="142"/>
      <c r="G13" s="139"/>
    </row>
    <row r="14" spans="2:7" ht="165.6" customHeight="1" x14ac:dyDescent="1.8">
      <c r="B14" s="140" t="str">
        <f>Employees!A10</f>
        <v>12</v>
      </c>
      <c r="C14" s="137" t="str">
        <f>Employees!D10</f>
        <v>العقوبي رمزي</v>
      </c>
      <c r="D14" s="141" t="e">
        <f>Employees!#REF!</f>
        <v>#REF!</v>
      </c>
      <c r="E14" s="139"/>
      <c r="F14" s="142"/>
      <c r="G14" s="139"/>
    </row>
    <row r="15" spans="2:7" ht="165.6" customHeight="1" x14ac:dyDescent="1.8">
      <c r="B15" s="140" t="str">
        <f>Employees!A11</f>
        <v>13</v>
      </c>
      <c r="C15" s="137" t="str">
        <f>Employees!D11</f>
        <v>قابوسة علي</v>
      </c>
      <c r="D15" s="141" t="e">
        <f>Employees!#REF!</f>
        <v>#REF!</v>
      </c>
      <c r="E15" s="139"/>
      <c r="F15" s="142"/>
      <c r="G15" s="139"/>
    </row>
    <row r="16" spans="2:7" ht="165.6" customHeight="1" x14ac:dyDescent="1.8">
      <c r="B16" s="140" t="str">
        <f>Employees!A12</f>
        <v>15</v>
      </c>
      <c r="C16" s="137" t="str">
        <f>Employees!D12</f>
        <v>حابي اميرة</v>
      </c>
      <c r="D16" s="141" t="e">
        <f>Employees!#REF!</f>
        <v>#REF!</v>
      </c>
      <c r="E16" s="139"/>
      <c r="F16" s="142"/>
      <c r="G16" s="139"/>
    </row>
    <row r="17" spans="2:7" ht="165.6" customHeight="1" x14ac:dyDescent="1.8">
      <c r="B17" s="140" t="str">
        <f>Employees!A13</f>
        <v>109</v>
      </c>
      <c r="C17" s="137" t="str">
        <f>Employees!D13</f>
        <v>حماني محمد العروسي</v>
      </c>
      <c r="D17" s="141" t="e">
        <f>Employees!#REF!</f>
        <v>#REF!</v>
      </c>
      <c r="E17" s="139"/>
      <c r="F17" s="142"/>
      <c r="G17" s="139"/>
    </row>
    <row r="18" spans="2:7" ht="165.6" customHeight="1" x14ac:dyDescent="1.8">
      <c r="B18" s="193" t="s">
        <v>713</v>
      </c>
      <c r="C18" s="193"/>
    </row>
    <row r="19" spans="2:7" ht="165.6" customHeight="1" x14ac:dyDescent="1.8">
      <c r="B19" s="193"/>
      <c r="C19" s="193"/>
      <c r="D19" s="134" t="s">
        <v>707</v>
      </c>
      <c r="E19" s="135" t="s">
        <v>708</v>
      </c>
      <c r="F19" s="135" t="s">
        <v>709</v>
      </c>
      <c r="G19" s="136" t="s">
        <v>710</v>
      </c>
    </row>
    <row r="20" spans="2:7" ht="165.6" customHeight="1" x14ac:dyDescent="1.8">
      <c r="B20" s="137" t="s">
        <v>711</v>
      </c>
      <c r="C20" s="137" t="s">
        <v>712</v>
      </c>
      <c r="D20" s="142"/>
      <c r="E20" s="139"/>
      <c r="F20" s="142"/>
      <c r="G20" s="139"/>
    </row>
    <row r="21" spans="2:7" ht="165.6" customHeight="1" x14ac:dyDescent="1.8">
      <c r="B21" s="140" t="str">
        <f>Employees!A15</f>
        <v>37</v>
      </c>
      <c r="C21" s="137" t="str">
        <f>Employees!D15</f>
        <v>دهيمي مختار</v>
      </c>
      <c r="D21" s="141" t="e">
        <f>Employees!#REF!</f>
        <v>#REF!</v>
      </c>
      <c r="E21" s="139"/>
      <c r="F21" s="142"/>
      <c r="G21" s="139"/>
    </row>
    <row r="22" spans="2:7" ht="165.6" customHeight="1" x14ac:dyDescent="1.8">
      <c r="B22" s="140" t="str">
        <f>Employees!A16</f>
        <v>319</v>
      </c>
      <c r="C22" s="137" t="str">
        <f>Employees!D16</f>
        <v>دبار لخضر</v>
      </c>
      <c r="D22" s="141" t="e">
        <f>Employees!#REF!</f>
        <v>#REF!</v>
      </c>
      <c r="E22" s="139"/>
      <c r="F22" s="142"/>
      <c r="G22" s="139"/>
    </row>
    <row r="23" spans="2:7" ht="165.6" customHeight="1" x14ac:dyDescent="1.8">
      <c r="B23" s="140" t="str">
        <f>Employees!A17</f>
        <v>368</v>
      </c>
      <c r="C23" s="137" t="str">
        <f>Employees!D17</f>
        <v>دهيمي عبد الحافظ</v>
      </c>
      <c r="D23" s="141" t="e">
        <f>Employees!#REF!</f>
        <v>#REF!</v>
      </c>
      <c r="E23" s="139"/>
      <c r="F23" s="142"/>
      <c r="G23" s="139"/>
    </row>
    <row r="24" spans="2:7" ht="165.6" customHeight="1" x14ac:dyDescent="1.8">
      <c r="B24" s="140" t="str">
        <f>Employees!A18</f>
        <v>380</v>
      </c>
      <c r="C24" s="137" t="str">
        <f>Employees!D18</f>
        <v>زربيط محمد الطاهر</v>
      </c>
      <c r="D24" s="141" t="e">
        <f>Employees!#REF!</f>
        <v>#REF!</v>
      </c>
      <c r="E24" s="139"/>
      <c r="F24" s="142"/>
      <c r="G24" s="139"/>
    </row>
    <row r="25" spans="2:7" ht="165.6" customHeight="1" x14ac:dyDescent="1.8">
      <c r="B25" s="193" t="s">
        <v>702</v>
      </c>
      <c r="C25" s="193"/>
    </row>
    <row r="26" spans="2:7" ht="165.6" customHeight="1" x14ac:dyDescent="1.8">
      <c r="B26" s="193"/>
      <c r="C26" s="193"/>
      <c r="D26" s="134" t="s">
        <v>707</v>
      </c>
      <c r="E26" s="135" t="s">
        <v>708</v>
      </c>
      <c r="F26" s="135" t="s">
        <v>709</v>
      </c>
      <c r="G26" s="136" t="s">
        <v>710</v>
      </c>
    </row>
    <row r="27" spans="2:7" ht="165.6" customHeight="1" x14ac:dyDescent="1.8">
      <c r="B27" s="137" t="s">
        <v>711</v>
      </c>
      <c r="C27" s="137" t="s">
        <v>712</v>
      </c>
      <c r="D27" s="142"/>
      <c r="E27" s="139"/>
      <c r="F27" s="142"/>
      <c r="G27" s="139"/>
    </row>
    <row r="28" spans="2:7" ht="165.6" customHeight="1" x14ac:dyDescent="1.8">
      <c r="B28" s="140" t="str">
        <f>Employees!A20</f>
        <v>55</v>
      </c>
      <c r="C28" s="137" t="str">
        <f>Employees!D20</f>
        <v>بوته سندس</v>
      </c>
      <c r="D28" s="141" t="e">
        <f>Employees!#REF!</f>
        <v>#REF!</v>
      </c>
      <c r="E28" s="139"/>
      <c r="F28" s="142"/>
      <c r="G28" s="139"/>
    </row>
    <row r="29" spans="2:7" ht="165.6" customHeight="1" x14ac:dyDescent="1.8">
      <c r="B29" s="140" t="str">
        <f>Employees!A21</f>
        <v>94</v>
      </c>
      <c r="C29" s="137" t="str">
        <f>Employees!D21</f>
        <v xml:space="preserve">زان دلال </v>
      </c>
      <c r="D29" s="141" t="e">
        <f>Employees!#REF!</f>
        <v>#REF!</v>
      </c>
      <c r="E29" s="139"/>
      <c r="F29" s="142"/>
      <c r="G29" s="139"/>
    </row>
    <row r="30" spans="2:7" ht="165.6" customHeight="1" x14ac:dyDescent="1.9">
      <c r="B30" s="193" t="s">
        <v>717</v>
      </c>
      <c r="C30" s="193"/>
      <c r="D30" s="132"/>
      <c r="E30" s="132"/>
      <c r="F30" s="132"/>
      <c r="G30" s="133"/>
    </row>
    <row r="31" spans="2:7" ht="165.6" customHeight="1" x14ac:dyDescent="1.8">
      <c r="B31" s="193"/>
      <c r="C31" s="193"/>
      <c r="D31" s="134" t="s">
        <v>707</v>
      </c>
      <c r="E31" s="135" t="s">
        <v>708</v>
      </c>
      <c r="F31" s="135" t="s">
        <v>709</v>
      </c>
      <c r="G31" s="136" t="s">
        <v>710</v>
      </c>
    </row>
    <row r="32" spans="2:7" ht="165.6" customHeight="1" x14ac:dyDescent="1.8">
      <c r="B32" s="137" t="s">
        <v>711</v>
      </c>
      <c r="C32" s="137" t="s">
        <v>712</v>
      </c>
      <c r="D32" s="138"/>
      <c r="E32" s="138"/>
      <c r="F32" s="138"/>
      <c r="G32" s="139"/>
    </row>
    <row r="33" spans="2:7" ht="165.6" customHeight="1" x14ac:dyDescent="1.8">
      <c r="B33" s="140" t="str">
        <f>Employees!A23</f>
        <v>266</v>
      </c>
      <c r="C33" s="137" t="str">
        <f>Employees!D23</f>
        <v>زواري احمد مريم</v>
      </c>
      <c r="D33" s="141" t="e">
        <f>Employees!#REF!</f>
        <v>#REF!</v>
      </c>
      <c r="E33" s="139"/>
      <c r="F33" s="142"/>
      <c r="G33" s="139"/>
    </row>
    <row r="34" spans="2:7" ht="165.6" customHeight="1" x14ac:dyDescent="1.8">
      <c r="B34" s="140" t="str">
        <f>Employees!A24</f>
        <v>270</v>
      </c>
      <c r="C34" s="137" t="str">
        <f>Employees!D24</f>
        <v>موساوي جهاد</v>
      </c>
      <c r="D34" s="141" t="e">
        <f>Employees!#REF!</f>
        <v>#REF!</v>
      </c>
      <c r="E34" s="139"/>
      <c r="F34" s="142"/>
      <c r="G34" s="139"/>
    </row>
    <row r="35" spans="2:7" ht="165.6" customHeight="1" x14ac:dyDescent="1.8">
      <c r="B35" s="140" t="str">
        <f>Employees!A25</f>
        <v>286</v>
      </c>
      <c r="C35" s="137" t="str">
        <f>Employees!D25</f>
        <v>قدوري مباركة</v>
      </c>
      <c r="D35" s="141" t="e">
        <f>Employees!#REF!</f>
        <v>#REF!</v>
      </c>
      <c r="E35" s="139"/>
      <c r="F35" s="142"/>
      <c r="G35" s="139"/>
    </row>
    <row r="36" spans="2:7" ht="165.6" customHeight="1" x14ac:dyDescent="1.8">
      <c r="B36" s="140" t="str">
        <f>Employees!A26</f>
        <v>300</v>
      </c>
      <c r="C36" s="137" t="str">
        <f>Employees!D26</f>
        <v>عروة فتيحة</v>
      </c>
      <c r="D36" s="141" t="e">
        <f>Employees!#REF!</f>
        <v>#REF!</v>
      </c>
      <c r="E36" s="139"/>
      <c r="F36" s="142"/>
      <c r="G36" s="139"/>
    </row>
    <row r="37" spans="2:7" ht="165.6" customHeight="1" x14ac:dyDescent="1.9">
      <c r="B37" s="193" t="s">
        <v>716</v>
      </c>
      <c r="C37" s="193"/>
      <c r="D37" s="132"/>
      <c r="E37" s="132"/>
      <c r="F37" s="132"/>
      <c r="G37" s="133"/>
    </row>
    <row r="38" spans="2:7" ht="165.6" customHeight="1" x14ac:dyDescent="1.8">
      <c r="B38" s="193"/>
      <c r="C38" s="193"/>
      <c r="D38" s="134" t="s">
        <v>707</v>
      </c>
      <c r="E38" s="135" t="s">
        <v>708</v>
      </c>
      <c r="F38" s="135" t="s">
        <v>709</v>
      </c>
      <c r="G38" s="136" t="s">
        <v>710</v>
      </c>
    </row>
    <row r="39" spans="2:7" ht="165.6" customHeight="1" x14ac:dyDescent="1.8">
      <c r="B39" s="137" t="s">
        <v>711</v>
      </c>
      <c r="C39" s="137" t="s">
        <v>712</v>
      </c>
      <c r="D39" s="138"/>
      <c r="E39" s="138"/>
      <c r="F39" s="138"/>
      <c r="G39" s="139"/>
    </row>
    <row r="40" spans="2:7" ht="165.6" customHeight="1" x14ac:dyDescent="1.8">
      <c r="B40" s="140" t="str">
        <f>Employees!A28</f>
        <v>38</v>
      </c>
      <c r="C40" s="137" t="str">
        <f>Employees!D28</f>
        <v>تجاني محمد الطاهر</v>
      </c>
      <c r="D40" s="141" t="e">
        <f>Employees!#REF!</f>
        <v>#REF!</v>
      </c>
      <c r="E40" s="139"/>
      <c r="F40" s="142"/>
      <c r="G40" s="139"/>
    </row>
    <row r="41" spans="2:7" ht="165.6" customHeight="1" x14ac:dyDescent="1.8">
      <c r="B41" s="140" t="str">
        <f>Employees!A29</f>
        <v>68</v>
      </c>
      <c r="C41" s="137" t="str">
        <f>Employees!D29</f>
        <v>سعيد سعد</v>
      </c>
      <c r="D41" s="141" t="e">
        <f>Employees!#REF!</f>
        <v>#REF!</v>
      </c>
      <c r="E41" s="139"/>
      <c r="F41" s="142"/>
      <c r="G41" s="139"/>
    </row>
    <row r="42" spans="2:7" ht="165.6" customHeight="1" x14ac:dyDescent="1.8">
      <c r="B42" s="140" t="str">
        <f>Employees!A30</f>
        <v>69</v>
      </c>
      <c r="C42" s="137" t="str">
        <f>Employees!D30</f>
        <v>شيخة مبروك اخميستي</v>
      </c>
      <c r="D42" s="141" t="e">
        <f>Employees!#REF!</f>
        <v>#REF!</v>
      </c>
      <c r="E42" s="139"/>
      <c r="F42" s="142"/>
      <c r="G42" s="139"/>
    </row>
    <row r="43" spans="2:7" ht="165.6" customHeight="1" x14ac:dyDescent="1.8">
      <c r="B43" s="140" t="str">
        <f>Employees!A31</f>
        <v>167</v>
      </c>
      <c r="C43" s="137" t="str">
        <f>Employees!D31</f>
        <v>لبيهي ساعد</v>
      </c>
      <c r="D43" s="141" t="e">
        <f>Employees!#REF!</f>
        <v>#REF!</v>
      </c>
      <c r="E43" s="139"/>
      <c r="F43" s="142"/>
      <c r="G43" s="139"/>
    </row>
    <row r="44" spans="2:7" ht="165.6" customHeight="1" x14ac:dyDescent="1.8">
      <c r="B44" s="193" t="s">
        <v>714</v>
      </c>
      <c r="C44" s="193"/>
    </row>
    <row r="45" spans="2:7" ht="165.6" customHeight="1" x14ac:dyDescent="1.8">
      <c r="B45" s="193"/>
      <c r="C45" s="193"/>
      <c r="D45" s="134" t="s">
        <v>707</v>
      </c>
      <c r="E45" s="135" t="s">
        <v>708</v>
      </c>
      <c r="F45" s="135" t="s">
        <v>709</v>
      </c>
      <c r="G45" s="136" t="s">
        <v>710</v>
      </c>
    </row>
    <row r="46" spans="2:7" ht="165.6" customHeight="1" x14ac:dyDescent="1.8">
      <c r="B46" s="137" t="s">
        <v>711</v>
      </c>
      <c r="C46" s="137" t="s">
        <v>712</v>
      </c>
      <c r="D46" s="138"/>
      <c r="E46" s="138"/>
      <c r="F46" s="138"/>
      <c r="G46" s="139"/>
    </row>
    <row r="47" spans="2:7" ht="165.6" customHeight="1" x14ac:dyDescent="1.8">
      <c r="B47" s="140" t="str">
        <f>Employees!A33</f>
        <v>43</v>
      </c>
      <c r="C47" s="137" t="str">
        <f>Employees!D33</f>
        <v>احميد نعيم</v>
      </c>
      <c r="D47" s="141" t="e">
        <f>Employees!#REF!</f>
        <v>#REF!</v>
      </c>
      <c r="E47" s="139"/>
      <c r="F47" s="142"/>
      <c r="G47" s="139"/>
    </row>
    <row r="48" spans="2:7" ht="165.6" customHeight="1" x14ac:dyDescent="1.8">
      <c r="B48" s="193" t="s">
        <v>715</v>
      </c>
      <c r="C48" s="193"/>
    </row>
    <row r="49" spans="2:7" ht="165.6" customHeight="1" x14ac:dyDescent="1.8">
      <c r="B49" s="193"/>
      <c r="C49" s="193"/>
      <c r="D49" s="134" t="s">
        <v>707</v>
      </c>
      <c r="E49" s="135" t="s">
        <v>708</v>
      </c>
      <c r="F49" s="135" t="s">
        <v>709</v>
      </c>
      <c r="G49" s="136" t="s">
        <v>710</v>
      </c>
    </row>
    <row r="50" spans="2:7" ht="165.6" customHeight="1" x14ac:dyDescent="1.8">
      <c r="B50" s="137" t="s">
        <v>711</v>
      </c>
      <c r="C50" s="137" t="s">
        <v>712</v>
      </c>
      <c r="D50" s="138"/>
      <c r="E50" s="138"/>
      <c r="F50" s="138"/>
      <c r="G50" s="139"/>
    </row>
    <row r="51" spans="2:7" ht="165.6" customHeight="1" x14ac:dyDescent="1.8">
      <c r="B51" s="140" t="str">
        <f>Employees!A35</f>
        <v>59</v>
      </c>
      <c r="C51" s="137" t="str">
        <f>Employees!D35</f>
        <v>تجيني عنتر</v>
      </c>
      <c r="D51" s="141" t="e">
        <f>Employees!#REF!</f>
        <v>#REF!</v>
      </c>
      <c r="E51" s="139"/>
      <c r="F51" s="142"/>
      <c r="G51" s="139"/>
    </row>
    <row r="52" spans="2:7" ht="165.6" customHeight="1" x14ac:dyDescent="1.8">
      <c r="B52" s="140" t="str">
        <f>Employees!A36</f>
        <v>82</v>
      </c>
      <c r="C52" s="137" t="str">
        <f>Employees!D36</f>
        <v>حبيب الزهرة</v>
      </c>
      <c r="D52" s="141" t="e">
        <f>Employees!#REF!</f>
        <v>#REF!</v>
      </c>
      <c r="E52" s="139"/>
      <c r="F52" s="142"/>
      <c r="G52" s="139"/>
    </row>
    <row r="53" spans="2:7" ht="165.6" customHeight="1" x14ac:dyDescent="1.8">
      <c r="B53" s="140" t="str">
        <f>Employees!A37</f>
        <v>115</v>
      </c>
      <c r="C53" s="137" t="str">
        <f>Employees!D37</f>
        <v>مسعي محمد ابراهيم</v>
      </c>
      <c r="D53" s="141" t="e">
        <f>Employees!#REF!</f>
        <v>#REF!</v>
      </c>
      <c r="E53" s="139"/>
      <c r="F53" s="142"/>
      <c r="G53" s="139"/>
    </row>
    <row r="54" spans="2:7" ht="165.6" customHeight="1" x14ac:dyDescent="1.8">
      <c r="B54" s="140" t="str">
        <f>Employees!A38</f>
        <v>197</v>
      </c>
      <c r="C54" s="137" t="str">
        <f>Employees!D38</f>
        <v>مسعي محمد علي 2</v>
      </c>
      <c r="D54" s="141" t="e">
        <f>Employees!#REF!</f>
        <v>#REF!</v>
      </c>
      <c r="E54" s="139"/>
      <c r="F54" s="142"/>
      <c r="G54" s="139"/>
    </row>
    <row r="55" spans="2:7" ht="165.6" customHeight="1" x14ac:dyDescent="1.8">
      <c r="B55" s="140" t="str">
        <f>Employees!A39</f>
        <v>212</v>
      </c>
      <c r="C55" s="137" t="str">
        <f>Employees!D39</f>
        <v>شريفي حسن</v>
      </c>
      <c r="D55" s="141" t="e">
        <f>Employees!#REF!</f>
        <v>#REF!</v>
      </c>
      <c r="E55" s="139"/>
      <c r="F55" s="142"/>
      <c r="G55" s="139"/>
    </row>
    <row r="56" spans="2:7" ht="165.6" customHeight="1" x14ac:dyDescent="1.8">
      <c r="B56" s="140" t="str">
        <f>Employees!A40</f>
        <v>430</v>
      </c>
      <c r="C56" s="137" t="str">
        <f>Employees!D40</f>
        <v>عسيلة ابراهيم</v>
      </c>
      <c r="D56" s="141" t="e">
        <f>Employees!#REF!</f>
        <v>#REF!</v>
      </c>
      <c r="E56" s="139"/>
      <c r="F56" s="142"/>
      <c r="G56" s="139"/>
    </row>
    <row r="57" spans="2:7" ht="165.6" customHeight="1" x14ac:dyDescent="1.8">
      <c r="B57" s="193" t="s">
        <v>733</v>
      </c>
      <c r="C57" s="193"/>
    </row>
    <row r="58" spans="2:7" ht="165.6" customHeight="1" x14ac:dyDescent="1.8">
      <c r="B58" s="193"/>
      <c r="C58" s="193"/>
      <c r="D58" s="134" t="s">
        <v>707</v>
      </c>
      <c r="E58" s="135" t="s">
        <v>708</v>
      </c>
      <c r="F58" s="135" t="s">
        <v>709</v>
      </c>
      <c r="G58" s="136" t="s">
        <v>710</v>
      </c>
    </row>
    <row r="59" spans="2:7" ht="165.6" customHeight="1" x14ac:dyDescent="1.8">
      <c r="B59" s="137" t="s">
        <v>711</v>
      </c>
      <c r="C59" s="137" t="s">
        <v>712</v>
      </c>
      <c r="D59" s="138"/>
      <c r="E59" s="138"/>
      <c r="F59" s="138"/>
      <c r="G59" s="139"/>
    </row>
    <row r="60" spans="2:7" ht="165.6" customHeight="1" x14ac:dyDescent="1.8">
      <c r="B60" s="140" t="str">
        <f>Employees!A42</f>
        <v>47</v>
      </c>
      <c r="C60" s="137" t="str">
        <f>Employees!D42</f>
        <v>تريكي مسعود</v>
      </c>
      <c r="D60" s="141" t="e">
        <f>Employees!#REF!</f>
        <v>#REF!</v>
      </c>
      <c r="E60" s="139"/>
      <c r="F60" s="142"/>
      <c r="G60" s="139"/>
    </row>
    <row r="61" spans="2:7" ht="165.6" customHeight="1" x14ac:dyDescent="1.8">
      <c r="B61" s="140" t="str">
        <f>Employees!A43</f>
        <v>63</v>
      </c>
      <c r="C61" s="137" t="str">
        <f>Employees!D43</f>
        <v>ممادي بشير</v>
      </c>
      <c r="D61" s="141" t="e">
        <f>Employees!#REF!</f>
        <v>#REF!</v>
      </c>
      <c r="E61" s="139"/>
      <c r="F61" s="142"/>
      <c r="G61" s="139"/>
    </row>
    <row r="62" spans="2:7" ht="165.6" customHeight="1" x14ac:dyDescent="1.8">
      <c r="B62" s="140" t="str">
        <f>Employees!A44</f>
        <v>70</v>
      </c>
      <c r="C62" s="137" t="str">
        <f>Employees!D44</f>
        <v>سبوعي علي شوقي</v>
      </c>
      <c r="D62" s="141" t="e">
        <f>Employees!#REF!</f>
        <v>#REF!</v>
      </c>
      <c r="E62" s="139"/>
      <c r="F62" s="142"/>
      <c r="G62" s="139"/>
    </row>
    <row r="63" spans="2:7" ht="165.6" customHeight="1" x14ac:dyDescent="1.8">
      <c r="B63" s="140" t="str">
        <f>Employees!A45</f>
        <v>244</v>
      </c>
      <c r="C63" s="137" t="str">
        <f>Employees!D45</f>
        <v>زناش لونيس</v>
      </c>
      <c r="D63" s="141" t="e">
        <f>Employees!#REF!</f>
        <v>#REF!</v>
      </c>
      <c r="E63" s="139"/>
      <c r="F63" s="142"/>
      <c r="G63" s="139"/>
    </row>
    <row r="64" spans="2:7" ht="165.6" customHeight="1" x14ac:dyDescent="1.8">
      <c r="B64" s="140" t="str">
        <f>Employees!A46</f>
        <v>283</v>
      </c>
      <c r="C64" s="137" t="str">
        <f>Employees!D46</f>
        <v>بن قانة محمد</v>
      </c>
      <c r="D64" s="141" t="e">
        <f>Employees!#REF!</f>
        <v>#REF!</v>
      </c>
      <c r="E64" s="139"/>
      <c r="F64" s="142"/>
      <c r="G64" s="139"/>
    </row>
    <row r="65" spans="2:7" ht="165.6" customHeight="1" x14ac:dyDescent="1.8">
      <c r="B65" s="140" t="str">
        <f>Employees!A47</f>
        <v>320</v>
      </c>
      <c r="C65" s="137" t="str">
        <f>Employees!D47</f>
        <v>بن عبد الله عيسى</v>
      </c>
      <c r="D65" s="141" t="e">
        <f>Employees!#REF!</f>
        <v>#REF!</v>
      </c>
      <c r="E65" s="139"/>
      <c r="F65" s="142"/>
      <c r="G65" s="139"/>
    </row>
    <row r="66" spans="2:7" ht="165.6" customHeight="1" x14ac:dyDescent="1.8">
      <c r="B66" s="140">
        <f>Employees!A48</f>
        <v>0</v>
      </c>
      <c r="C66" s="137" t="str">
        <f>Employees!D48</f>
        <v>بن قانة محمد 2</v>
      </c>
      <c r="D66" s="141" t="e">
        <f>Employees!#REF!</f>
        <v>#REF!</v>
      </c>
      <c r="E66" s="139"/>
      <c r="F66" s="142"/>
      <c r="G66" s="139"/>
    </row>
    <row r="67" spans="2:7" ht="165.6" customHeight="1" x14ac:dyDescent="1.8">
      <c r="B67" s="140">
        <f>Employees!A49</f>
        <v>0</v>
      </c>
      <c r="C67" s="137" t="str">
        <f>Employees!D49</f>
        <v>نيد تومي</v>
      </c>
      <c r="D67" s="141" t="e">
        <f>Employees!#REF!</f>
        <v>#REF!</v>
      </c>
      <c r="E67" s="139"/>
      <c r="F67" s="142"/>
      <c r="G67" s="139"/>
    </row>
    <row r="68" spans="2:7" ht="165.6" customHeight="1" x14ac:dyDescent="1.8">
      <c r="B68" s="193" t="s">
        <v>39</v>
      </c>
      <c r="C68" s="193"/>
    </row>
    <row r="69" spans="2:7" ht="165.6" customHeight="1" x14ac:dyDescent="1.8">
      <c r="B69" s="193"/>
      <c r="C69" s="193"/>
      <c r="D69" s="134" t="s">
        <v>707</v>
      </c>
      <c r="E69" s="135" t="s">
        <v>708</v>
      </c>
      <c r="F69" s="135" t="s">
        <v>709</v>
      </c>
      <c r="G69" s="136" t="s">
        <v>710</v>
      </c>
    </row>
    <row r="70" spans="2:7" ht="165.6" customHeight="1" x14ac:dyDescent="1.8">
      <c r="B70" s="137" t="s">
        <v>711</v>
      </c>
      <c r="C70" s="137" t="s">
        <v>712</v>
      </c>
      <c r="D70" s="138"/>
      <c r="E70" s="138"/>
      <c r="F70" s="138"/>
      <c r="G70" s="139"/>
    </row>
    <row r="71" spans="2:7" ht="165.6" customHeight="1" x14ac:dyDescent="1.8">
      <c r="B71" s="140" t="str">
        <f>Employees!A51</f>
        <v>227</v>
      </c>
      <c r="C71" s="137" t="str">
        <f>Employees!D51</f>
        <v>دبش عمار</v>
      </c>
      <c r="D71" s="141" t="e">
        <f>Employees!#REF!</f>
        <v>#REF!</v>
      </c>
      <c r="E71" s="139"/>
      <c r="F71" s="142"/>
      <c r="G71" s="139"/>
    </row>
    <row r="72" spans="2:7" ht="165.6" customHeight="1" x14ac:dyDescent="1.8">
      <c r="B72" s="140" t="str">
        <f>Employees!A52</f>
        <v>307</v>
      </c>
      <c r="C72" s="137" t="str">
        <f>Employees!D52</f>
        <v>خلوط طارق</v>
      </c>
      <c r="D72" s="141" t="e">
        <f>Employees!#REF!</f>
        <v>#REF!</v>
      </c>
      <c r="E72" s="139"/>
      <c r="F72" s="142"/>
      <c r="G72" s="139"/>
    </row>
    <row r="73" spans="2:7" ht="165.6" customHeight="1" x14ac:dyDescent="1.8">
      <c r="B73" s="193" t="s">
        <v>718</v>
      </c>
      <c r="C73" s="193"/>
    </row>
    <row r="74" spans="2:7" ht="165.6" customHeight="1" x14ac:dyDescent="1.8">
      <c r="B74" s="193"/>
      <c r="C74" s="193"/>
      <c r="D74" s="134" t="s">
        <v>707</v>
      </c>
      <c r="E74" s="135" t="s">
        <v>708</v>
      </c>
      <c r="F74" s="135" t="s">
        <v>709</v>
      </c>
      <c r="G74" s="136" t="s">
        <v>710</v>
      </c>
    </row>
    <row r="75" spans="2:7" ht="165.6" customHeight="1" x14ac:dyDescent="1.8">
      <c r="B75" s="137" t="s">
        <v>711</v>
      </c>
      <c r="C75" s="137" t="s">
        <v>712</v>
      </c>
      <c r="D75" s="138"/>
      <c r="E75" s="138"/>
      <c r="F75" s="138"/>
      <c r="G75" s="139"/>
    </row>
    <row r="76" spans="2:7" ht="165.6" customHeight="1" x14ac:dyDescent="1.8">
      <c r="B76" s="140" t="str">
        <f>Employees!A54</f>
        <v>30</v>
      </c>
      <c r="C76" s="137" t="str">
        <f>Employees!D54</f>
        <v xml:space="preserve">جاب الله العربي </v>
      </c>
      <c r="D76" s="141" t="e">
        <f>Employees!#REF!</f>
        <v>#REF!</v>
      </c>
      <c r="E76" s="139"/>
      <c r="F76" s="142"/>
      <c r="G76" s="139"/>
    </row>
    <row r="77" spans="2:7" ht="165.6" customHeight="1" x14ac:dyDescent="1.8">
      <c r="B77" s="140" t="str">
        <f>Employees!A55</f>
        <v>48</v>
      </c>
      <c r="C77" s="137" t="str">
        <f>Employees!D55</f>
        <v>عياشي محمد</v>
      </c>
      <c r="D77" s="141" t="e">
        <f>Employees!#REF!</f>
        <v>#REF!</v>
      </c>
      <c r="E77" s="139"/>
      <c r="F77" s="142"/>
      <c r="G77" s="139"/>
    </row>
    <row r="78" spans="2:7" ht="165.6" customHeight="1" x14ac:dyDescent="1.8">
      <c r="B78" s="140" t="str">
        <f>Employees!A56</f>
        <v>54</v>
      </c>
      <c r="C78" s="137" t="str">
        <f>Employees!D56</f>
        <v>طواهرية الياس</v>
      </c>
      <c r="D78" s="141" t="e">
        <f>Employees!#REF!</f>
        <v>#REF!</v>
      </c>
      <c r="E78" s="139"/>
      <c r="F78" s="142"/>
      <c r="G78" s="139"/>
    </row>
    <row r="79" spans="2:7" ht="165.6" customHeight="1" x14ac:dyDescent="1.8">
      <c r="B79" s="140" t="str">
        <f>Employees!A57</f>
        <v>58</v>
      </c>
      <c r="C79" s="137" t="str">
        <f>Employees!D57</f>
        <v>بشيري علي</v>
      </c>
      <c r="D79" s="141" t="e">
        <f>Employees!#REF!</f>
        <v>#REF!</v>
      </c>
      <c r="E79" s="139"/>
      <c r="F79" s="142"/>
      <c r="G79" s="139"/>
    </row>
    <row r="80" spans="2:7" ht="165.6" customHeight="1" x14ac:dyDescent="1.8">
      <c r="B80" s="140" t="str">
        <f>Employees!A58</f>
        <v>61</v>
      </c>
      <c r="C80" s="137" t="str">
        <f>Employees!D58</f>
        <v>جاب الله الحاج علي</v>
      </c>
      <c r="D80" s="141" t="e">
        <f>Employees!#REF!</f>
        <v>#REF!</v>
      </c>
      <c r="E80" s="139"/>
      <c r="F80" s="142"/>
      <c r="G80" s="139"/>
    </row>
    <row r="81" spans="2:7" ht="165.6" customHeight="1" x14ac:dyDescent="1.8">
      <c r="B81" s="140" t="str">
        <f>Employees!A59</f>
        <v>76</v>
      </c>
      <c r="C81" s="137" t="str">
        <f>Employees!D59</f>
        <v>عاد أحمد</v>
      </c>
      <c r="D81" s="141" t="e">
        <f>Employees!#REF!</f>
        <v>#REF!</v>
      </c>
      <c r="E81" s="139"/>
      <c r="F81" s="142"/>
      <c r="G81" s="139"/>
    </row>
    <row r="82" spans="2:7" ht="165.6" customHeight="1" x14ac:dyDescent="1.8">
      <c r="B82" s="140" t="str">
        <f>Employees!A60</f>
        <v>93</v>
      </c>
      <c r="C82" s="137" t="str">
        <f>Employees!D60</f>
        <v>طنش الطاهر</v>
      </c>
      <c r="D82" s="141" t="e">
        <f>Employees!#REF!</f>
        <v>#REF!</v>
      </c>
      <c r="E82" s="139"/>
      <c r="F82" s="142"/>
      <c r="G82" s="139"/>
    </row>
    <row r="83" spans="2:7" ht="165.6" customHeight="1" x14ac:dyDescent="1.8">
      <c r="B83" s="140" t="str">
        <f>Employees!A61</f>
        <v>102</v>
      </c>
      <c r="C83" s="137" t="str">
        <f>Employees!D61</f>
        <v>سنوان بيه</v>
      </c>
      <c r="D83" s="141" t="e">
        <f>Employees!#REF!</f>
        <v>#REF!</v>
      </c>
      <c r="E83" s="139"/>
      <c r="F83" s="142"/>
      <c r="G83" s="139"/>
    </row>
    <row r="84" spans="2:7" ht="165.6" customHeight="1" x14ac:dyDescent="1.8">
      <c r="B84" s="140" t="str">
        <f>Employees!A62</f>
        <v>162</v>
      </c>
      <c r="C84" s="137" t="str">
        <f>Employees!D62</f>
        <v>سعيد محمد العربي</v>
      </c>
      <c r="D84" s="141" t="e">
        <f>Employees!#REF!</f>
        <v>#REF!</v>
      </c>
      <c r="E84" s="139"/>
      <c r="F84" s="142"/>
      <c r="G84" s="139"/>
    </row>
    <row r="85" spans="2:7" ht="165.6" customHeight="1" x14ac:dyDescent="1.8">
      <c r="B85" s="140" t="str">
        <f>Employees!A63</f>
        <v>165</v>
      </c>
      <c r="C85" s="137" t="str">
        <f>Employees!D63</f>
        <v>بوترعة أحمد</v>
      </c>
      <c r="D85" s="141" t="e">
        <f>Employees!#REF!</f>
        <v>#REF!</v>
      </c>
      <c r="E85" s="139"/>
      <c r="F85" s="142"/>
      <c r="G85" s="139"/>
    </row>
    <row r="86" spans="2:7" ht="165.6" customHeight="1" x14ac:dyDescent="1.8">
      <c r="B86" s="140" t="str">
        <f>Employees!A64</f>
        <v>166</v>
      </c>
      <c r="C86" s="137" t="str">
        <f>Employees!D64</f>
        <v>قريرة عبد العزيز</v>
      </c>
      <c r="D86" s="141" t="e">
        <f>Employees!#REF!</f>
        <v>#REF!</v>
      </c>
      <c r="E86" s="139"/>
      <c r="F86" s="142"/>
      <c r="G86" s="139"/>
    </row>
    <row r="87" spans="2:7" ht="165.6" customHeight="1" x14ac:dyDescent="1.8">
      <c r="B87" s="140" t="str">
        <f>Employees!A65</f>
        <v>180</v>
      </c>
      <c r="C87" s="137" t="str">
        <f>Employees!D65</f>
        <v>ياحي السعيد</v>
      </c>
      <c r="D87" s="141" t="e">
        <f>Employees!#REF!</f>
        <v>#REF!</v>
      </c>
      <c r="E87" s="139"/>
      <c r="F87" s="142"/>
      <c r="G87" s="139"/>
    </row>
    <row r="88" spans="2:7" ht="165.6" customHeight="1" x14ac:dyDescent="1.8">
      <c r="B88" s="140" t="str">
        <f>Employees!A66</f>
        <v>192</v>
      </c>
      <c r="C88" s="137" t="str">
        <f>Employees!D66</f>
        <v>حمصي مسعود</v>
      </c>
      <c r="D88" s="141" t="e">
        <f>Employees!#REF!</f>
        <v>#REF!</v>
      </c>
      <c r="E88" s="139"/>
      <c r="F88" s="142"/>
      <c r="G88" s="139"/>
    </row>
    <row r="89" spans="2:7" ht="165.6" customHeight="1" x14ac:dyDescent="1.8">
      <c r="B89" s="140" t="str">
        <f>Employees!A67</f>
        <v>206</v>
      </c>
      <c r="C89" s="137" t="str">
        <f>Employees!D67</f>
        <v>حمصي هشام</v>
      </c>
      <c r="D89" s="141" t="e">
        <f>Employees!#REF!</f>
        <v>#REF!</v>
      </c>
      <c r="E89" s="139"/>
      <c r="F89" s="142"/>
      <c r="G89" s="139"/>
    </row>
    <row r="90" spans="2:7" ht="165.6" customHeight="1" x14ac:dyDescent="1.8">
      <c r="B90" s="140" t="str">
        <f>Employees!A68</f>
        <v>211</v>
      </c>
      <c r="C90" s="137" t="str">
        <f>Employees!D68</f>
        <v>حمدي ايمن</v>
      </c>
      <c r="D90" s="141" t="e">
        <f>Employees!#REF!</f>
        <v>#REF!</v>
      </c>
      <c r="E90" s="139"/>
      <c r="F90" s="142"/>
      <c r="G90" s="139"/>
    </row>
    <row r="91" spans="2:7" ht="165.6" customHeight="1" x14ac:dyDescent="1.8">
      <c r="B91" s="140" t="str">
        <f>Employees!A69</f>
        <v>218</v>
      </c>
      <c r="C91" s="137" t="str">
        <f>Employees!D69</f>
        <v>بن عون أسامة</v>
      </c>
      <c r="D91" s="141" t="e">
        <f>Employees!#REF!</f>
        <v>#REF!</v>
      </c>
      <c r="E91" s="139"/>
      <c r="F91" s="142"/>
      <c r="G91" s="139"/>
    </row>
    <row r="92" spans="2:7" ht="165.6" customHeight="1" x14ac:dyDescent="1.8">
      <c r="B92" s="140" t="str">
        <f>Employees!A70</f>
        <v>223</v>
      </c>
      <c r="C92" s="137" t="str">
        <f>Employees!D70</f>
        <v>غالية الياس</v>
      </c>
      <c r="D92" s="141" t="e">
        <f>Employees!#REF!</f>
        <v>#REF!</v>
      </c>
      <c r="E92" s="139"/>
      <c r="F92" s="142"/>
      <c r="G92" s="139"/>
    </row>
    <row r="93" spans="2:7" ht="165.6" customHeight="1" x14ac:dyDescent="1.8">
      <c r="B93" s="140" t="str">
        <f>Employees!A71</f>
        <v>231</v>
      </c>
      <c r="C93" s="137" t="str">
        <f>Employees!D71</f>
        <v>حوري صالح</v>
      </c>
      <c r="D93" s="141" t="e">
        <f>Employees!#REF!</f>
        <v>#REF!</v>
      </c>
      <c r="E93" s="139"/>
      <c r="F93" s="142"/>
      <c r="G93" s="139"/>
    </row>
    <row r="94" spans="2:7" ht="165.6" customHeight="1" x14ac:dyDescent="1.8">
      <c r="B94" s="140" t="str">
        <f>Employees!A72</f>
        <v>235</v>
      </c>
      <c r="C94" s="137" t="str">
        <f>Employees!D72</f>
        <v>زاير البشير</v>
      </c>
      <c r="D94" s="141" t="e">
        <f>Employees!#REF!</f>
        <v>#REF!</v>
      </c>
      <c r="E94" s="139"/>
      <c r="F94" s="142"/>
      <c r="G94" s="139"/>
    </row>
    <row r="95" spans="2:7" ht="165.6" customHeight="1" x14ac:dyDescent="1.8">
      <c r="B95" s="140" t="str">
        <f>Employees!A73</f>
        <v>250</v>
      </c>
      <c r="C95" s="137" t="str">
        <f>Employees!D73</f>
        <v>بهى محسن</v>
      </c>
      <c r="D95" s="141" t="e">
        <f>Employees!#REF!</f>
        <v>#REF!</v>
      </c>
      <c r="E95" s="139"/>
      <c r="F95" s="142"/>
      <c r="G95" s="139"/>
    </row>
    <row r="96" spans="2:7" ht="165.6" customHeight="1" x14ac:dyDescent="1.8">
      <c r="B96" s="140" t="str">
        <f>Employees!A74</f>
        <v>289</v>
      </c>
      <c r="C96" s="137" t="str">
        <f>Employees!D74</f>
        <v>حمتين السعيد</v>
      </c>
      <c r="D96" s="141" t="e">
        <f>Employees!#REF!</f>
        <v>#REF!</v>
      </c>
      <c r="E96" s="139"/>
      <c r="F96" s="142"/>
      <c r="G96" s="139"/>
    </row>
    <row r="97" spans="2:7" ht="165.6" customHeight="1" x14ac:dyDescent="1.8">
      <c r="B97" s="140" t="str">
        <f>Employees!A75</f>
        <v>324</v>
      </c>
      <c r="C97" s="137" t="str">
        <f>Employees!D75</f>
        <v>طالبي يوسف</v>
      </c>
      <c r="D97" s="141" t="e">
        <f>Employees!#REF!</f>
        <v>#REF!</v>
      </c>
      <c r="E97" s="139"/>
      <c r="F97" s="142"/>
      <c r="G97" s="139"/>
    </row>
    <row r="98" spans="2:7" ht="165.6" customHeight="1" x14ac:dyDescent="1.8">
      <c r="B98" s="140" t="str">
        <f>Employees!A76</f>
        <v>329</v>
      </c>
      <c r="C98" s="137" t="str">
        <f>Employees!D76</f>
        <v>دودو نبيل</v>
      </c>
      <c r="D98" s="141" t="e">
        <f>Employees!#REF!</f>
        <v>#REF!</v>
      </c>
      <c r="E98" s="139"/>
      <c r="F98" s="142"/>
      <c r="G98" s="139"/>
    </row>
    <row r="99" spans="2:7" ht="165.6" customHeight="1" x14ac:dyDescent="1.8">
      <c r="B99" s="140" t="str">
        <f>Employees!A77</f>
        <v>338</v>
      </c>
      <c r="C99" s="137" t="str">
        <f>Employees!D77</f>
        <v>عطية صالح</v>
      </c>
      <c r="D99" s="141" t="e">
        <f>Employees!#REF!</f>
        <v>#REF!</v>
      </c>
      <c r="E99" s="139"/>
      <c r="F99" s="142"/>
      <c r="G99" s="139"/>
    </row>
    <row r="100" spans="2:7" ht="165.6" customHeight="1" x14ac:dyDescent="1.8">
      <c r="B100" s="140" t="str">
        <f>Employees!A78</f>
        <v>358</v>
      </c>
      <c r="C100" s="137" t="str">
        <f>Employees!D78</f>
        <v>مهيش ميلود</v>
      </c>
      <c r="D100" s="141" t="e">
        <f>Employees!#REF!</f>
        <v>#REF!</v>
      </c>
      <c r="E100" s="139"/>
      <c r="F100" s="142"/>
      <c r="G100" s="139"/>
    </row>
    <row r="101" spans="2:7" ht="165.6" customHeight="1" x14ac:dyDescent="1.8">
      <c r="B101" s="140" t="str">
        <f>Employees!A79</f>
        <v>371</v>
      </c>
      <c r="C101" s="137" t="str">
        <f>Employees!D79</f>
        <v>تلحيق السعيد</v>
      </c>
      <c r="D101" s="141" t="e">
        <f>Employees!#REF!</f>
        <v>#REF!</v>
      </c>
      <c r="E101" s="139"/>
      <c r="F101" s="142"/>
      <c r="G101" s="139"/>
    </row>
    <row r="102" spans="2:7" ht="165.6" customHeight="1" x14ac:dyDescent="1.8">
      <c r="B102" s="140" t="str">
        <f>Employees!A80</f>
        <v>388</v>
      </c>
      <c r="C102" s="137" t="str">
        <f>Employees!D80</f>
        <v>يومبعي وائل</v>
      </c>
      <c r="D102" s="141" t="e">
        <f>Employees!#REF!</f>
        <v>#REF!</v>
      </c>
      <c r="E102" s="139"/>
      <c r="F102" s="142"/>
      <c r="G102" s="139"/>
    </row>
    <row r="103" spans="2:7" ht="165.6" customHeight="1" x14ac:dyDescent="1.8">
      <c r="B103" s="140" t="str">
        <f>Employees!A81</f>
        <v>409</v>
      </c>
      <c r="C103" s="137" t="str">
        <f>Employees!D81</f>
        <v>تجاني البشير</v>
      </c>
      <c r="D103" s="141" t="e">
        <f>Employees!#REF!</f>
        <v>#REF!</v>
      </c>
      <c r="E103" s="139"/>
      <c r="F103" s="142"/>
      <c r="G103" s="139"/>
    </row>
    <row r="104" spans="2:7" ht="165.6" customHeight="1" x14ac:dyDescent="1.8">
      <c r="B104" s="140" t="str">
        <f>Employees!A82</f>
        <v>411</v>
      </c>
      <c r="C104" s="137" t="str">
        <f>Employees!D82</f>
        <v>يومبعي محمد العيد</v>
      </c>
      <c r="D104" s="141" t="e">
        <f>Employees!#REF!</f>
        <v>#REF!</v>
      </c>
      <c r="E104" s="139"/>
      <c r="F104" s="142"/>
      <c r="G104" s="139"/>
    </row>
    <row r="105" spans="2:7" ht="165.6" customHeight="1" x14ac:dyDescent="1.8">
      <c r="B105" s="140" t="str">
        <f>Employees!A83</f>
        <v>433</v>
      </c>
      <c r="C105" s="137" t="str">
        <f>Employees!D83</f>
        <v>تجاني محمد الهادي</v>
      </c>
      <c r="D105" s="141" t="e">
        <f>Employees!#REF!</f>
        <v>#REF!</v>
      </c>
      <c r="E105" s="139"/>
      <c r="F105" s="142"/>
      <c r="G105" s="139"/>
    </row>
    <row r="106" spans="2:7" ht="165.6" customHeight="1" x14ac:dyDescent="1.8">
      <c r="B106" s="140" t="str">
        <f>Employees!A84</f>
        <v>440</v>
      </c>
      <c r="C106" s="137" t="str">
        <f>Employees!D84</f>
        <v>تجاني محمد البشير</v>
      </c>
      <c r="D106" s="141" t="e">
        <f>Employees!#REF!</f>
        <v>#REF!</v>
      </c>
      <c r="E106" s="139"/>
      <c r="F106" s="142"/>
      <c r="G106" s="139"/>
    </row>
    <row r="107" spans="2:7" ht="165.6" customHeight="1" x14ac:dyDescent="1.8">
      <c r="B107" s="140">
        <f>Employees!A85</f>
        <v>0</v>
      </c>
      <c r="C107" s="137">
        <f>Employees!D85</f>
        <v>0</v>
      </c>
      <c r="D107" s="141" t="e">
        <f>Employees!#REF!</f>
        <v>#REF!</v>
      </c>
      <c r="E107" s="191"/>
      <c r="F107" s="190"/>
      <c r="G107" s="191"/>
    </row>
    <row r="108" spans="2:7" ht="165.6" customHeight="1" x14ac:dyDescent="1.8">
      <c r="B108" s="193" t="s">
        <v>674</v>
      </c>
      <c r="C108" s="193"/>
    </row>
    <row r="109" spans="2:7" ht="165.6" customHeight="1" x14ac:dyDescent="1.8">
      <c r="B109" s="193"/>
      <c r="C109" s="193"/>
      <c r="D109" s="134" t="s">
        <v>707</v>
      </c>
      <c r="E109" s="135" t="s">
        <v>708</v>
      </c>
      <c r="F109" s="135" t="s">
        <v>709</v>
      </c>
      <c r="G109" s="136" t="s">
        <v>710</v>
      </c>
    </row>
    <row r="110" spans="2:7" ht="165.6" customHeight="1" x14ac:dyDescent="1.8">
      <c r="B110" s="137" t="s">
        <v>711</v>
      </c>
      <c r="C110" s="137" t="s">
        <v>712</v>
      </c>
      <c r="D110" s="138"/>
      <c r="E110" s="138"/>
      <c r="F110" s="138"/>
      <c r="G110" s="139"/>
    </row>
    <row r="111" spans="2:7" ht="165.6" customHeight="1" x14ac:dyDescent="1.8">
      <c r="B111" s="140" t="str">
        <f>Employees!A87</f>
        <v>25</v>
      </c>
      <c r="C111" s="137" t="str">
        <f>Employees!D87</f>
        <v>شيخة يمينة</v>
      </c>
      <c r="D111" s="141" t="e">
        <f>Employees!#REF!</f>
        <v>#REF!</v>
      </c>
      <c r="E111" s="139"/>
      <c r="F111" s="142"/>
      <c r="G111" s="139"/>
    </row>
    <row r="112" spans="2:7" ht="165.6" customHeight="1" x14ac:dyDescent="1.8">
      <c r="B112" s="140" t="str">
        <f>Employees!A88</f>
        <v>27</v>
      </c>
      <c r="C112" s="137" t="str">
        <f>Employees!D88</f>
        <v>مدخل هدى</v>
      </c>
      <c r="D112" s="141" t="e">
        <f>Employees!#REF!</f>
        <v>#REF!</v>
      </c>
      <c r="E112" s="139"/>
      <c r="F112" s="142"/>
      <c r="G112" s="139"/>
    </row>
    <row r="113" spans="2:7" ht="165.6" customHeight="1" x14ac:dyDescent="1.8">
      <c r="B113" s="140" t="str">
        <f>Employees!A89</f>
        <v>46</v>
      </c>
      <c r="C113" s="137" t="str">
        <f>Employees!D89</f>
        <v>كبسة عائشة</v>
      </c>
      <c r="D113" s="141" t="e">
        <f>Employees!#REF!</f>
        <v>#REF!</v>
      </c>
      <c r="E113" s="139"/>
      <c r="F113" s="142"/>
      <c r="G113" s="139"/>
    </row>
    <row r="114" spans="2:7" ht="165.6" customHeight="1" x14ac:dyDescent="1.8">
      <c r="B114" s="140" t="str">
        <f>Employees!A90</f>
        <v>64</v>
      </c>
      <c r="C114" s="137" t="str">
        <f>Employees!D90</f>
        <v>مدخل نعيمة</v>
      </c>
      <c r="D114" s="141" t="e">
        <f>Employees!#REF!</f>
        <v>#REF!</v>
      </c>
      <c r="E114" s="139"/>
      <c r="F114" s="142"/>
      <c r="G114" s="139"/>
    </row>
    <row r="115" spans="2:7" ht="165.6" customHeight="1" x14ac:dyDescent="1.8">
      <c r="B115" s="140" t="str">
        <f>Employees!A91</f>
        <v>79</v>
      </c>
      <c r="C115" s="137" t="str">
        <f>Employees!D91</f>
        <v>موم مسعودة</v>
      </c>
      <c r="D115" s="141" t="e">
        <f>Employees!#REF!</f>
        <v>#REF!</v>
      </c>
      <c r="E115" s="139"/>
      <c r="F115" s="142"/>
      <c r="G115" s="139"/>
    </row>
    <row r="116" spans="2:7" ht="165.6" customHeight="1" x14ac:dyDescent="1.8">
      <c r="B116" s="140" t="str">
        <f>Employees!A92</f>
        <v>81</v>
      </c>
      <c r="C116" s="137" t="str">
        <f>Employees!D92</f>
        <v>موم حليمة</v>
      </c>
      <c r="D116" s="141" t="e">
        <f>Employees!#REF!</f>
        <v>#REF!</v>
      </c>
      <c r="E116" s="139"/>
      <c r="F116" s="142"/>
      <c r="G116" s="139"/>
    </row>
    <row r="117" spans="2:7" ht="165.6" customHeight="1" x14ac:dyDescent="1.8">
      <c r="B117" s="140" t="str">
        <f>Employees!A93</f>
        <v>83</v>
      </c>
      <c r="C117" s="137" t="str">
        <f>Employees!D93</f>
        <v>وصيف تواتي وجدان</v>
      </c>
      <c r="D117" s="141" t="e">
        <f>Employees!#REF!</f>
        <v>#REF!</v>
      </c>
      <c r="E117" s="139"/>
      <c r="F117" s="142"/>
      <c r="G117" s="139"/>
    </row>
    <row r="118" spans="2:7" ht="165.6" customHeight="1" x14ac:dyDescent="1.8">
      <c r="B118" s="140" t="str">
        <f>Employees!A94</f>
        <v>110</v>
      </c>
      <c r="C118" s="137" t="str">
        <f>Employees!D94</f>
        <v>مداوي ابتسام</v>
      </c>
      <c r="D118" s="141" t="e">
        <f>Employees!#REF!</f>
        <v>#REF!</v>
      </c>
      <c r="E118" s="139"/>
      <c r="F118" s="142"/>
      <c r="G118" s="139"/>
    </row>
    <row r="119" spans="2:7" ht="165.6" customHeight="1" x14ac:dyDescent="1.8">
      <c r="B119" s="140" t="str">
        <f>Employees!A95</f>
        <v>121</v>
      </c>
      <c r="C119" s="137" t="str">
        <f>Employees!D95</f>
        <v xml:space="preserve">بيكي وردة </v>
      </c>
      <c r="D119" s="141" t="e">
        <f>Employees!#REF!</f>
        <v>#REF!</v>
      </c>
      <c r="E119" s="139"/>
      <c r="F119" s="142"/>
      <c r="G119" s="139"/>
    </row>
    <row r="120" spans="2:7" ht="165.6" customHeight="1" x14ac:dyDescent="1.8">
      <c r="B120" s="140" t="str">
        <f>Employees!A96</f>
        <v>122</v>
      </c>
      <c r="C120" s="137" t="str">
        <f>Employees!D96</f>
        <v>عبيدي سعد نصيرة</v>
      </c>
      <c r="D120" s="141" t="e">
        <f>Employees!#REF!</f>
        <v>#REF!</v>
      </c>
      <c r="E120" s="139"/>
      <c r="F120" s="142"/>
      <c r="G120" s="139"/>
    </row>
    <row r="121" spans="2:7" ht="165.6" customHeight="1" x14ac:dyDescent="1.8">
      <c r="B121" s="140" t="str">
        <f>Employees!A97</f>
        <v>124</v>
      </c>
      <c r="C121" s="137" t="str">
        <f>Employees!D97</f>
        <v>بلال عائشة</v>
      </c>
      <c r="D121" s="141" t="e">
        <f>Employees!#REF!</f>
        <v>#REF!</v>
      </c>
      <c r="E121" s="139"/>
      <c r="F121" s="142"/>
      <c r="G121" s="139"/>
    </row>
    <row r="122" spans="2:7" ht="165.6" customHeight="1" x14ac:dyDescent="1.8">
      <c r="B122" s="140" t="str">
        <f>Employees!A98</f>
        <v>126</v>
      </c>
      <c r="C122" s="137" t="str">
        <f>Employees!D98</f>
        <v>مداوي جمعة</v>
      </c>
      <c r="D122" s="141" t="e">
        <f>Employees!#REF!</f>
        <v>#REF!</v>
      </c>
      <c r="E122" s="139"/>
      <c r="F122" s="142"/>
      <c r="G122" s="139"/>
    </row>
    <row r="123" spans="2:7" ht="165.6" customHeight="1" x14ac:dyDescent="1.8">
      <c r="B123" s="140" t="str">
        <f>Employees!A99</f>
        <v>130</v>
      </c>
      <c r="C123" s="137" t="str">
        <f>Employees!D99</f>
        <v>ربوح سامية</v>
      </c>
      <c r="D123" s="141" t="e">
        <f>Employees!#REF!</f>
        <v>#REF!</v>
      </c>
      <c r="E123" s="139"/>
      <c r="F123" s="142"/>
      <c r="G123" s="139"/>
    </row>
    <row r="124" spans="2:7" ht="165.6" customHeight="1" x14ac:dyDescent="1.8">
      <c r="B124" s="140" t="str">
        <f>Employees!A100</f>
        <v>132</v>
      </c>
      <c r="C124" s="137" t="str">
        <f>Employees!D100</f>
        <v>عطر آمنة</v>
      </c>
      <c r="D124" s="141" t="e">
        <f>Employees!#REF!</f>
        <v>#REF!</v>
      </c>
      <c r="E124" s="139"/>
      <c r="F124" s="142"/>
      <c r="G124" s="139"/>
    </row>
    <row r="125" spans="2:7" ht="165.6" customHeight="1" x14ac:dyDescent="1.8">
      <c r="B125" s="140" t="str">
        <f>Employees!A101</f>
        <v>138</v>
      </c>
      <c r="C125" s="137" t="str">
        <f>Employees!D101</f>
        <v>حتيري سليمة</v>
      </c>
      <c r="D125" s="141" t="e">
        <f>Employees!#REF!</f>
        <v>#REF!</v>
      </c>
      <c r="E125" s="139"/>
      <c r="F125" s="142"/>
      <c r="G125" s="139"/>
    </row>
    <row r="126" spans="2:7" ht="165.6" customHeight="1" x14ac:dyDescent="1.8">
      <c r="B126" s="140" t="str">
        <f>Employees!A102</f>
        <v>169</v>
      </c>
      <c r="C126" s="137" t="str">
        <f>Employees!D102</f>
        <v>زيدي رشيد</v>
      </c>
      <c r="D126" s="141" t="e">
        <f>Employees!#REF!</f>
        <v>#REF!</v>
      </c>
      <c r="E126" s="139"/>
      <c r="F126" s="142"/>
      <c r="G126" s="139"/>
    </row>
    <row r="127" spans="2:7" ht="165.6" customHeight="1" x14ac:dyDescent="1.8">
      <c r="B127" s="140" t="str">
        <f>Employees!A103</f>
        <v>171</v>
      </c>
      <c r="C127" s="137" t="str">
        <f>Employees!D103</f>
        <v>طالبي محمد الصادق</v>
      </c>
      <c r="D127" s="141" t="e">
        <f>Employees!#REF!</f>
        <v>#REF!</v>
      </c>
      <c r="E127" s="139"/>
      <c r="F127" s="142"/>
      <c r="G127" s="139"/>
    </row>
    <row r="128" spans="2:7" ht="165.6" customHeight="1" x14ac:dyDescent="1.8">
      <c r="B128" s="140" t="str">
        <f>Employees!A104</f>
        <v>182</v>
      </c>
      <c r="C128" s="137" t="str">
        <f>Employees!D104</f>
        <v xml:space="preserve">عيساوي أحمد البخاري </v>
      </c>
      <c r="D128" s="141" t="e">
        <f>Employees!#REF!</f>
        <v>#REF!</v>
      </c>
      <c r="E128" s="139"/>
      <c r="F128" s="142"/>
      <c r="G128" s="139"/>
    </row>
    <row r="129" spans="2:7" ht="165.6" customHeight="1" x14ac:dyDescent="1.8">
      <c r="B129" s="140" t="str">
        <f>Employees!A105</f>
        <v>184</v>
      </c>
      <c r="C129" s="137" t="str">
        <f>Employees!D105</f>
        <v>واده ربح</v>
      </c>
      <c r="D129" s="141" t="e">
        <f>Employees!#REF!</f>
        <v>#REF!</v>
      </c>
      <c r="E129" s="139"/>
      <c r="F129" s="142"/>
      <c r="G129" s="139"/>
    </row>
    <row r="130" spans="2:7" ht="165.6" customHeight="1" x14ac:dyDescent="1.8">
      <c r="B130" s="140" t="str">
        <f>Employees!A106</f>
        <v>188</v>
      </c>
      <c r="C130" s="137" t="str">
        <f>Employees!D106</f>
        <v>عروة سمراء</v>
      </c>
      <c r="D130" s="141" t="e">
        <f>Employees!#REF!</f>
        <v>#REF!</v>
      </c>
      <c r="E130" s="139"/>
      <c r="F130" s="142"/>
      <c r="G130" s="139"/>
    </row>
    <row r="131" spans="2:7" ht="165.6" customHeight="1" x14ac:dyDescent="1.8">
      <c r="B131" s="140" t="str">
        <f>Employees!A107</f>
        <v>190</v>
      </c>
      <c r="C131" s="137" t="str">
        <f>Employees!D107</f>
        <v>رقيق ايناس</v>
      </c>
      <c r="D131" s="141" t="e">
        <f>Employees!#REF!</f>
        <v>#REF!</v>
      </c>
      <c r="E131" s="139"/>
      <c r="F131" s="142"/>
      <c r="G131" s="139"/>
    </row>
    <row r="132" spans="2:7" ht="165.6" customHeight="1" x14ac:dyDescent="1.8">
      <c r="B132" s="140" t="str">
        <f>Employees!A108</f>
        <v>198</v>
      </c>
      <c r="C132" s="137" t="str">
        <f>Employees!D108</f>
        <v>واده مريم</v>
      </c>
      <c r="D132" s="141" t="e">
        <f>Employees!#REF!</f>
        <v>#REF!</v>
      </c>
      <c r="E132" s="139"/>
      <c r="F132" s="142"/>
      <c r="G132" s="139"/>
    </row>
    <row r="133" spans="2:7" ht="165.6" customHeight="1" x14ac:dyDescent="1.8">
      <c r="B133" s="140" t="str">
        <f>Employees!A109</f>
        <v>247</v>
      </c>
      <c r="C133" s="137" t="str">
        <f>Employees!D109</f>
        <v>جرو الزهرة</v>
      </c>
      <c r="D133" s="141" t="e">
        <f>Employees!#REF!</f>
        <v>#REF!</v>
      </c>
      <c r="E133" s="139"/>
      <c r="F133" s="142"/>
      <c r="G133" s="139"/>
    </row>
    <row r="134" spans="2:7" ht="165.6" customHeight="1" x14ac:dyDescent="1.8">
      <c r="B134" s="140" t="str">
        <f>Employees!A110</f>
        <v>261</v>
      </c>
      <c r="C134" s="137" t="str">
        <f>Employees!D110</f>
        <v>سمينة جمعة</v>
      </c>
      <c r="D134" s="141" t="e">
        <f>Employees!#REF!</f>
        <v>#REF!</v>
      </c>
      <c r="E134" s="139"/>
      <c r="F134" s="142"/>
      <c r="G134" s="139"/>
    </row>
    <row r="135" spans="2:7" ht="165.6" customHeight="1" x14ac:dyDescent="1.8">
      <c r="B135" s="140" t="str">
        <f>Employees!A111</f>
        <v>308</v>
      </c>
      <c r="C135" s="137" t="str">
        <f>Employees!D111</f>
        <v>سمينة حنان</v>
      </c>
      <c r="D135" s="141" t="e">
        <f>Employees!#REF!</f>
        <v>#REF!</v>
      </c>
      <c r="E135" s="139"/>
      <c r="F135" s="142"/>
      <c r="G135" s="139"/>
    </row>
    <row r="136" spans="2:7" ht="165.6" customHeight="1" x14ac:dyDescent="1.8">
      <c r="B136" s="140" t="str">
        <f>Employees!A112</f>
        <v>361</v>
      </c>
      <c r="C136" s="137" t="str">
        <f>Employees!D112</f>
        <v>بوغزالة محمد كريمة</v>
      </c>
      <c r="D136" s="141" t="e">
        <f>Employees!#REF!</f>
        <v>#REF!</v>
      </c>
      <c r="E136" s="139"/>
      <c r="F136" s="142"/>
      <c r="G136" s="139"/>
    </row>
    <row r="137" spans="2:7" ht="165.6" customHeight="1" x14ac:dyDescent="1.8">
      <c r="B137" s="140" t="str">
        <f>Employees!A113</f>
        <v>384</v>
      </c>
      <c r="C137" s="137" t="str">
        <f>Employees!D113</f>
        <v>زين صلاح الدين</v>
      </c>
      <c r="D137" s="141" t="e">
        <f>Employees!#REF!</f>
        <v>#REF!</v>
      </c>
      <c r="E137" s="139"/>
      <c r="F137" s="142"/>
      <c r="G137" s="139"/>
    </row>
    <row r="138" spans="2:7" ht="165.6" customHeight="1" x14ac:dyDescent="1.8">
      <c r="B138" s="140" t="str">
        <f>Employees!A114</f>
        <v>399</v>
      </c>
      <c r="C138" s="137" t="str">
        <f>Employees!D114</f>
        <v>طريلي خولة</v>
      </c>
      <c r="D138" s="141" t="e">
        <f>Employees!#REF!</f>
        <v>#REF!</v>
      </c>
      <c r="E138" s="139"/>
      <c r="F138" s="142"/>
      <c r="G138" s="139"/>
    </row>
    <row r="139" spans="2:7" ht="165.6" customHeight="1" x14ac:dyDescent="1.8">
      <c r="B139" s="140" t="str">
        <f>Employees!A115</f>
        <v>403</v>
      </c>
      <c r="C139" s="137" t="str">
        <f>Employees!D115</f>
        <v>بن عمارة خيرة</v>
      </c>
      <c r="D139" s="141" t="e">
        <f>Employees!#REF!</f>
        <v>#REF!</v>
      </c>
      <c r="E139" s="139"/>
      <c r="F139" s="142"/>
      <c r="G139" s="139"/>
    </row>
    <row r="140" spans="2:7" ht="165.6" customHeight="1" x14ac:dyDescent="1.8">
      <c r="B140" s="140" t="str">
        <f>Employees!A116</f>
        <v>405</v>
      </c>
      <c r="C140" s="137" t="str">
        <f>Employees!D116</f>
        <v>كنيوة مريم</v>
      </c>
      <c r="D140" s="141" t="e">
        <f>Employees!#REF!</f>
        <v>#REF!</v>
      </c>
      <c r="E140" s="139"/>
      <c r="F140" s="142"/>
      <c r="G140" s="139"/>
    </row>
    <row r="141" spans="2:7" ht="165.6" customHeight="1" x14ac:dyDescent="1.8">
      <c r="B141" s="140" t="str">
        <f>Employees!A117</f>
        <v>427</v>
      </c>
      <c r="C141" s="137" t="str">
        <f>Employees!D117</f>
        <v>قرح تركية</v>
      </c>
      <c r="D141" s="141" t="e">
        <f>Employees!#REF!</f>
        <v>#REF!</v>
      </c>
      <c r="E141" s="139"/>
      <c r="F141" s="142"/>
      <c r="G141" s="139"/>
    </row>
    <row r="142" spans="2:7" ht="165.6" customHeight="1" x14ac:dyDescent="1.8">
      <c r="B142" s="140" t="str">
        <f>Employees!A118</f>
        <v>445</v>
      </c>
      <c r="C142" s="137" t="str">
        <f>Employees!D118</f>
        <v>عقيب الزهرة</v>
      </c>
      <c r="D142" s="141" t="e">
        <f>Employees!#REF!</f>
        <v>#REF!</v>
      </c>
      <c r="E142" s="139"/>
      <c r="F142" s="142"/>
      <c r="G142" s="139"/>
    </row>
    <row r="143" spans="2:7" ht="165.6" customHeight="1" x14ac:dyDescent="1.8">
      <c r="B143" s="193" t="s">
        <v>101</v>
      </c>
      <c r="C143" s="193"/>
    </row>
    <row r="144" spans="2:7" ht="165.6" customHeight="1" x14ac:dyDescent="1.8">
      <c r="B144" s="193"/>
      <c r="C144" s="193"/>
      <c r="D144" s="134" t="s">
        <v>707</v>
      </c>
      <c r="E144" s="135" t="s">
        <v>708</v>
      </c>
      <c r="F144" s="135" t="s">
        <v>709</v>
      </c>
      <c r="G144" s="136" t="s">
        <v>710</v>
      </c>
    </row>
    <row r="145" spans="2:7" ht="165.6" customHeight="1" x14ac:dyDescent="1.8">
      <c r="B145" s="137" t="s">
        <v>711</v>
      </c>
      <c r="C145" s="137" t="s">
        <v>712</v>
      </c>
      <c r="D145" s="138"/>
      <c r="E145" s="138"/>
      <c r="F145" s="138"/>
      <c r="G145" s="139"/>
    </row>
    <row r="146" spans="2:7" ht="165.6" customHeight="1" x14ac:dyDescent="1.8">
      <c r="B146" s="140" t="str">
        <f>Employees!A121</f>
        <v>32</v>
      </c>
      <c r="C146" s="137" t="str">
        <f>Employees!D121</f>
        <v>بن عبد الله المولدي</v>
      </c>
      <c r="D146" s="141" t="e">
        <f>Employees!#REF!</f>
        <v>#REF!</v>
      </c>
      <c r="E146" s="139"/>
      <c r="F146" s="142"/>
      <c r="G146" s="139"/>
    </row>
    <row r="147" spans="2:7" ht="165.6" customHeight="1" x14ac:dyDescent="1.8">
      <c r="B147" s="140" t="str">
        <f>Employees!A122</f>
        <v>35</v>
      </c>
      <c r="C147" s="137" t="str">
        <f>Employees!D122</f>
        <v>بالهادف ع الرحمن</v>
      </c>
      <c r="D147" s="141" t="e">
        <f>Employees!#REF!</f>
        <v>#REF!</v>
      </c>
      <c r="E147" s="139"/>
      <c r="F147" s="142"/>
      <c r="G147" s="139"/>
    </row>
    <row r="148" spans="2:7" ht="165.6" customHeight="1" x14ac:dyDescent="1.8">
      <c r="B148" s="140" t="str">
        <f>Employees!A123</f>
        <v>45</v>
      </c>
      <c r="C148" s="137" t="str">
        <f>Employees!D123</f>
        <v>شوية حمد</v>
      </c>
      <c r="D148" s="141" t="e">
        <f>Employees!#REF!</f>
        <v>#REF!</v>
      </c>
      <c r="E148" s="139"/>
      <c r="F148" s="142"/>
      <c r="G148" s="139"/>
    </row>
    <row r="149" spans="2:7" ht="165.6" customHeight="1" x14ac:dyDescent="1.8">
      <c r="B149" s="140" t="str">
        <f>Employees!A124</f>
        <v>62</v>
      </c>
      <c r="C149" s="137" t="str">
        <f>Employees!D124</f>
        <v>بكوش ساعد</v>
      </c>
      <c r="D149" s="141" t="e">
        <f>Employees!#REF!</f>
        <v>#REF!</v>
      </c>
      <c r="E149" s="139"/>
      <c r="F149" s="142"/>
      <c r="G149" s="139"/>
    </row>
    <row r="150" spans="2:7" ht="165.6" customHeight="1" x14ac:dyDescent="1.8">
      <c r="B150" s="140" t="str">
        <f>Employees!A125</f>
        <v>73</v>
      </c>
      <c r="C150" s="137" t="str">
        <f>Employees!D125</f>
        <v>حريز بكار المهدي</v>
      </c>
      <c r="D150" s="141" t="e">
        <f>Employees!#REF!</f>
        <v>#REF!</v>
      </c>
      <c r="E150" s="139"/>
      <c r="F150" s="142"/>
      <c r="G150" s="139"/>
    </row>
    <row r="151" spans="2:7" ht="165.6" customHeight="1" x14ac:dyDescent="1.8">
      <c r="B151" s="140" t="str">
        <f>Employees!A126</f>
        <v>95</v>
      </c>
      <c r="C151" s="137" t="str">
        <f>Employees!D126</f>
        <v>فاضل عبد الحميد</v>
      </c>
      <c r="D151" s="141" t="e">
        <f>Employees!#REF!</f>
        <v>#REF!</v>
      </c>
      <c r="E151" s="139"/>
      <c r="F151" s="142"/>
      <c r="G151" s="139"/>
    </row>
    <row r="152" spans="2:7" ht="165.6" customHeight="1" x14ac:dyDescent="1.8">
      <c r="B152" s="140" t="str">
        <f>Employees!A127</f>
        <v>112</v>
      </c>
      <c r="C152" s="137" t="str">
        <f>Employees!D127</f>
        <v>ديدة رمزي</v>
      </c>
      <c r="D152" s="141" t="e">
        <f>Employees!#REF!</f>
        <v>#REF!</v>
      </c>
      <c r="E152" s="139"/>
      <c r="F152" s="142"/>
      <c r="G152" s="139"/>
    </row>
    <row r="153" spans="2:7" ht="165.6" customHeight="1" x14ac:dyDescent="1.8">
      <c r="B153" s="140" t="str">
        <f>Employees!A128</f>
        <v>145</v>
      </c>
      <c r="C153" s="137" t="str">
        <f>Employees!D128</f>
        <v>طواهرية علي</v>
      </c>
      <c r="D153" s="141" t="e">
        <f>Employees!#REF!</f>
        <v>#REF!</v>
      </c>
      <c r="E153" s="139"/>
      <c r="F153" s="142"/>
      <c r="G153" s="139"/>
    </row>
    <row r="154" spans="2:7" ht="165.6" customHeight="1" x14ac:dyDescent="1.8">
      <c r="B154" s="140" t="str">
        <f>Employees!A129</f>
        <v>151</v>
      </c>
      <c r="C154" s="137" t="str">
        <f>Employees!D129</f>
        <v>فرحات عبد الجبار</v>
      </c>
      <c r="D154" s="141" t="e">
        <f>Employees!#REF!</f>
        <v>#REF!</v>
      </c>
      <c r="E154" s="139"/>
      <c r="F154" s="142"/>
      <c r="G154" s="139"/>
    </row>
    <row r="155" spans="2:7" ht="165.6" customHeight="1" x14ac:dyDescent="1.8">
      <c r="B155" s="140" t="str">
        <f>Employees!A130</f>
        <v>215</v>
      </c>
      <c r="C155" s="137" t="str">
        <f>Employees!D130</f>
        <v>بهى خليفة</v>
      </c>
      <c r="D155" s="141" t="e">
        <f>Employees!#REF!</f>
        <v>#REF!</v>
      </c>
      <c r="E155" s="139"/>
      <c r="F155" s="142"/>
      <c r="G155" s="139"/>
    </row>
    <row r="156" spans="2:7" ht="165.6" customHeight="1" x14ac:dyDescent="1.8">
      <c r="B156" s="140" t="str">
        <f>Employees!A131</f>
        <v>234</v>
      </c>
      <c r="C156" s="137" t="str">
        <f>Employees!D131</f>
        <v xml:space="preserve">قرفي إسحاق </v>
      </c>
      <c r="D156" s="141" t="e">
        <f>Employees!#REF!</f>
        <v>#REF!</v>
      </c>
      <c r="E156" s="139"/>
      <c r="F156" s="142"/>
      <c r="G156" s="139"/>
    </row>
    <row r="157" spans="2:7" ht="165.6" customHeight="1" x14ac:dyDescent="1.8">
      <c r="B157" s="140" t="str">
        <f>Employees!A132</f>
        <v>249</v>
      </c>
      <c r="C157" s="137" t="str">
        <f>Employees!D132</f>
        <v>عمامرة عبد السلام</v>
      </c>
      <c r="D157" s="141" t="e">
        <f>Employees!#REF!</f>
        <v>#REF!</v>
      </c>
      <c r="E157" s="139"/>
      <c r="F157" s="142"/>
      <c r="G157" s="139"/>
    </row>
    <row r="158" spans="2:7" ht="165.6" customHeight="1" x14ac:dyDescent="1.8">
      <c r="B158" s="140" t="str">
        <f>Employees!A133</f>
        <v>254</v>
      </c>
      <c r="C158" s="137" t="str">
        <f>Employees!D133</f>
        <v>مشري خالد</v>
      </c>
      <c r="D158" s="141" t="e">
        <f>Employees!#REF!</f>
        <v>#REF!</v>
      </c>
      <c r="E158" s="139"/>
      <c r="F158" s="142"/>
      <c r="G158" s="139"/>
    </row>
    <row r="159" spans="2:7" ht="165.6" customHeight="1" x14ac:dyDescent="1.8">
      <c r="B159" s="140" t="str">
        <f>Employees!A134</f>
        <v>255</v>
      </c>
      <c r="C159" s="137" t="str">
        <f>Employees!D134</f>
        <v>شيحاني احمد الامين</v>
      </c>
      <c r="D159" s="141" t="e">
        <f>Employees!#REF!</f>
        <v>#REF!</v>
      </c>
      <c r="E159" s="139"/>
      <c r="F159" s="142"/>
      <c r="G159" s="139"/>
    </row>
    <row r="160" spans="2:7" ht="165.6" customHeight="1" x14ac:dyDescent="1.8">
      <c r="B160" s="140" t="str">
        <f>Employees!A135</f>
        <v>271</v>
      </c>
      <c r="C160" s="137" t="str">
        <f>Employees!D135</f>
        <v>قماري مازن حسنين</v>
      </c>
      <c r="D160" s="141" t="e">
        <f>Employees!#REF!</f>
        <v>#REF!</v>
      </c>
      <c r="E160" s="139"/>
      <c r="F160" s="142"/>
      <c r="G160" s="139"/>
    </row>
    <row r="161" spans="2:7" ht="165.6" customHeight="1" x14ac:dyDescent="1.8">
      <c r="B161" s="140" t="str">
        <f>Employees!A136</f>
        <v>296</v>
      </c>
      <c r="C161" s="137" t="str">
        <f>Employees!D136</f>
        <v>رداد المهدي</v>
      </c>
      <c r="D161" s="141" t="e">
        <f>Employees!#REF!</f>
        <v>#REF!</v>
      </c>
      <c r="E161" s="139"/>
      <c r="F161" s="142"/>
      <c r="G161" s="139"/>
    </row>
    <row r="162" spans="2:7" ht="165.6" customHeight="1" x14ac:dyDescent="1.8">
      <c r="B162" s="140" t="str">
        <f>Employees!A137</f>
        <v>336</v>
      </c>
      <c r="C162" s="137" t="str">
        <f>Employees!D137</f>
        <v>بن غالي العربي</v>
      </c>
      <c r="D162" s="141" t="e">
        <f>Employees!#REF!</f>
        <v>#REF!</v>
      </c>
      <c r="E162" s="139"/>
      <c r="F162" s="142"/>
      <c r="G162" s="139"/>
    </row>
    <row r="163" spans="2:7" ht="165.6" customHeight="1" x14ac:dyDescent="1.8">
      <c r="B163" s="140" t="str">
        <f>Employees!A138</f>
        <v>348</v>
      </c>
      <c r="C163" s="137" t="str">
        <f>Employees!D138</f>
        <v>فايزي المولدي</v>
      </c>
      <c r="D163" s="141" t="e">
        <f>Employees!#REF!</f>
        <v>#REF!</v>
      </c>
      <c r="E163" s="139"/>
      <c r="F163" s="142"/>
      <c r="G163" s="139"/>
    </row>
    <row r="164" spans="2:7" ht="165.6" customHeight="1" x14ac:dyDescent="1.8">
      <c r="B164" s="140" t="str">
        <f>Employees!A139</f>
        <v>365</v>
      </c>
      <c r="C164" s="137" t="str">
        <f>Employees!D139</f>
        <v>سعيد صالح</v>
      </c>
      <c r="D164" s="141" t="e">
        <f>Employees!#REF!</f>
        <v>#REF!</v>
      </c>
      <c r="E164" s="139"/>
      <c r="F164" s="142"/>
      <c r="G164" s="139"/>
    </row>
    <row r="165" spans="2:7" ht="165.6" customHeight="1" x14ac:dyDescent="1.8">
      <c r="B165" s="140" t="str">
        <f>Employees!A140</f>
        <v>375</v>
      </c>
      <c r="C165" s="137" t="str">
        <f>Employees!D140</f>
        <v>دوة محمد الحبيب</v>
      </c>
      <c r="D165" s="141" t="e">
        <f>Employees!#REF!</f>
        <v>#REF!</v>
      </c>
      <c r="E165" s="139"/>
      <c r="F165" s="142"/>
      <c r="G165" s="139"/>
    </row>
    <row r="166" spans="2:7" ht="165.6" customHeight="1" x14ac:dyDescent="1.8">
      <c r="B166" s="140" t="str">
        <f>Employees!A141</f>
        <v>376</v>
      </c>
      <c r="C166" s="137" t="str">
        <f>Employees!D141</f>
        <v>التجاني محمد الصادق</v>
      </c>
      <c r="D166" s="141" t="e">
        <f>Employees!#REF!</f>
        <v>#REF!</v>
      </c>
      <c r="E166" s="139"/>
      <c r="F166" s="142"/>
      <c r="G166" s="139"/>
    </row>
    <row r="167" spans="2:7" ht="165.6" customHeight="1" x14ac:dyDescent="1.8">
      <c r="B167" s="140" t="str">
        <f>Employees!A142</f>
        <v>378</v>
      </c>
      <c r="C167" s="137" t="str">
        <f>Employees!D142</f>
        <v>بيكي هيثم</v>
      </c>
      <c r="D167" s="141" t="e">
        <f>Employees!#REF!</f>
        <v>#REF!</v>
      </c>
      <c r="E167" s="139"/>
      <c r="F167" s="142"/>
      <c r="G167" s="139"/>
    </row>
    <row r="168" spans="2:7" ht="165.6" customHeight="1" x14ac:dyDescent="1.8">
      <c r="B168" s="140" t="str">
        <f>Employees!A143</f>
        <v>381</v>
      </c>
      <c r="C168" s="137" t="str">
        <f>Employees!D143</f>
        <v>حشيفة فتحي</v>
      </c>
      <c r="D168" s="141" t="e">
        <f>Employees!#REF!</f>
        <v>#REF!</v>
      </c>
      <c r="E168" s="139"/>
      <c r="F168" s="142"/>
      <c r="G168" s="139"/>
    </row>
    <row r="169" spans="2:7" ht="165.6" customHeight="1" x14ac:dyDescent="1.8">
      <c r="B169" s="140" t="str">
        <f>Employees!A144</f>
        <v>413</v>
      </c>
      <c r="C169" s="137" t="str">
        <f>Employees!D144</f>
        <v>بن يامة عبد العزيز</v>
      </c>
      <c r="D169" s="141" t="e">
        <f>Employees!#REF!</f>
        <v>#REF!</v>
      </c>
      <c r="E169" s="139"/>
      <c r="F169" s="142"/>
      <c r="G169" s="139"/>
    </row>
    <row r="170" spans="2:7" ht="165.6" customHeight="1" x14ac:dyDescent="1.8">
      <c r="B170" s="140" t="str">
        <f>Employees!A145</f>
        <v>425</v>
      </c>
      <c r="C170" s="137" t="str">
        <f>Employees!D145</f>
        <v>عاشور الحاج سعد</v>
      </c>
      <c r="D170" s="141" t="e">
        <f>Employees!#REF!</f>
        <v>#REF!</v>
      </c>
      <c r="E170" s="139"/>
      <c r="F170" s="142"/>
      <c r="G170" s="139"/>
    </row>
    <row r="171" spans="2:7" ht="165.6" customHeight="1" x14ac:dyDescent="1.8">
      <c r="B171" s="193" t="s">
        <v>719</v>
      </c>
      <c r="C171" s="193"/>
    </row>
    <row r="172" spans="2:7" ht="165.6" customHeight="1" x14ac:dyDescent="1.8">
      <c r="B172" s="193"/>
      <c r="C172" s="193"/>
      <c r="D172" s="134" t="s">
        <v>707</v>
      </c>
      <c r="E172" s="135" t="s">
        <v>708</v>
      </c>
      <c r="F172" s="135" t="s">
        <v>709</v>
      </c>
      <c r="G172" s="136" t="s">
        <v>710</v>
      </c>
    </row>
    <row r="173" spans="2:7" ht="165.6" customHeight="1" x14ac:dyDescent="1.8">
      <c r="B173" s="137" t="s">
        <v>711</v>
      </c>
      <c r="C173" s="137" t="s">
        <v>712</v>
      </c>
      <c r="D173" s="138"/>
      <c r="E173" s="138"/>
      <c r="F173" s="138"/>
      <c r="G173" s="139"/>
    </row>
    <row r="174" spans="2:7" ht="165.6" customHeight="1" x14ac:dyDescent="1.8">
      <c r="B174" s="140" t="str">
        <f>Employees!A148</f>
        <v>49</v>
      </c>
      <c r="C174" s="137" t="str">
        <f>Employees!D148</f>
        <v>طويل عبد الغني</v>
      </c>
      <c r="D174" s="141" t="e">
        <f>Employees!#REF!</f>
        <v>#REF!</v>
      </c>
      <c r="E174" s="139"/>
      <c r="F174" s="142"/>
      <c r="G174" s="139"/>
    </row>
    <row r="175" spans="2:7" ht="165.6" customHeight="1" x14ac:dyDescent="1.8">
      <c r="B175" s="140" t="str">
        <f>Employees!A149</f>
        <v>185</v>
      </c>
      <c r="C175" s="137" t="str">
        <f>Employees!D149</f>
        <v>حنكة علي</v>
      </c>
      <c r="D175" s="141" t="e">
        <f>Employees!#REF!</f>
        <v>#REF!</v>
      </c>
      <c r="E175" s="139"/>
      <c r="F175" s="142"/>
      <c r="G175" s="139"/>
    </row>
    <row r="176" spans="2:7" ht="165.6" customHeight="1" x14ac:dyDescent="1.8">
      <c r="B176" s="140" t="str">
        <f>Employees!A150</f>
        <v>295</v>
      </c>
      <c r="C176" s="137" t="str">
        <f>Employees!D150</f>
        <v>ميهوب يوسف</v>
      </c>
      <c r="D176" s="141" t="e">
        <f>Employees!#REF!</f>
        <v>#REF!</v>
      </c>
      <c r="E176" s="139"/>
      <c r="F176" s="142"/>
      <c r="G176" s="139"/>
    </row>
    <row r="177" spans="2:7" ht="165.6" customHeight="1" x14ac:dyDescent="1.8">
      <c r="B177" s="193" t="s">
        <v>131</v>
      </c>
      <c r="C177" s="193"/>
    </row>
    <row r="178" spans="2:7" ht="165.6" customHeight="1" x14ac:dyDescent="1.8">
      <c r="B178" s="193"/>
      <c r="C178" s="193"/>
      <c r="D178" s="134" t="s">
        <v>707</v>
      </c>
      <c r="E178" s="135" t="s">
        <v>708</v>
      </c>
      <c r="F178" s="135" t="s">
        <v>709</v>
      </c>
      <c r="G178" s="136" t="s">
        <v>710</v>
      </c>
    </row>
    <row r="179" spans="2:7" ht="165.6" customHeight="1" x14ac:dyDescent="1.8">
      <c r="B179" s="137" t="s">
        <v>711</v>
      </c>
      <c r="C179" s="137" t="s">
        <v>712</v>
      </c>
      <c r="D179" s="138"/>
      <c r="E179" s="138"/>
      <c r="F179" s="138"/>
      <c r="G179" s="139"/>
    </row>
    <row r="180" spans="2:7" ht="165.6" customHeight="1" x14ac:dyDescent="1.8">
      <c r="B180" s="140" t="str">
        <f>Employees!A152</f>
        <v>178</v>
      </c>
      <c r="C180" s="137" t="str">
        <f>Employees!D152</f>
        <v>مذكور عبد المجيد</v>
      </c>
      <c r="D180" s="141" t="e">
        <f>Employees!#REF!</f>
        <v>#REF!</v>
      </c>
      <c r="E180" s="139"/>
      <c r="F180" s="142"/>
      <c r="G180" s="139"/>
    </row>
    <row r="181" spans="2:7" ht="165.6" customHeight="1" x14ac:dyDescent="1.8">
      <c r="B181" s="140" t="str">
        <f>Employees!A153</f>
        <v>431</v>
      </c>
      <c r="C181" s="137" t="str">
        <f>Employees!D153</f>
        <v>فايزي فؤاد</v>
      </c>
      <c r="D181" s="141" t="e">
        <f>Employees!#REF!</f>
        <v>#REF!</v>
      </c>
      <c r="E181" s="139"/>
      <c r="F181" s="142"/>
      <c r="G181" s="139"/>
    </row>
    <row r="182" spans="2:7" ht="165.6" customHeight="1" x14ac:dyDescent="1.8">
      <c r="B182" s="140" t="str">
        <f>Employees!A154</f>
        <v>450</v>
      </c>
      <c r="C182" s="137" t="str">
        <f>Employees!D154</f>
        <v>دودو نور الدين</v>
      </c>
      <c r="D182" s="141" t="e">
        <f>Employees!#REF!</f>
        <v>#REF!</v>
      </c>
      <c r="E182" s="139"/>
      <c r="F182" s="142"/>
      <c r="G182" s="139"/>
    </row>
    <row r="183" spans="2:7" ht="165.6" customHeight="1" x14ac:dyDescent="1.8">
      <c r="B183" s="193" t="s">
        <v>720</v>
      </c>
      <c r="C183" s="193"/>
    </row>
    <row r="184" spans="2:7" ht="165.6" customHeight="1" x14ac:dyDescent="1.8">
      <c r="B184" s="193"/>
      <c r="C184" s="193"/>
      <c r="D184" s="134" t="s">
        <v>707</v>
      </c>
      <c r="E184" s="135" t="s">
        <v>708</v>
      </c>
      <c r="F184" s="135" t="s">
        <v>709</v>
      </c>
      <c r="G184" s="136" t="s">
        <v>710</v>
      </c>
    </row>
    <row r="185" spans="2:7" ht="165.6" customHeight="1" x14ac:dyDescent="1.8">
      <c r="B185" s="137" t="s">
        <v>711</v>
      </c>
      <c r="C185" s="137" t="s">
        <v>712</v>
      </c>
      <c r="D185" s="138"/>
      <c r="E185" s="138"/>
      <c r="F185" s="138"/>
      <c r="G185" s="139"/>
    </row>
    <row r="186" spans="2:7" ht="165.6" customHeight="1" x14ac:dyDescent="1.8">
      <c r="B186" s="140" t="str">
        <f>Employees!A157</f>
        <v>147</v>
      </c>
      <c r="C186" s="137" t="str">
        <f>Employees!D157</f>
        <v>حمو العيد</v>
      </c>
      <c r="D186" s="141" t="e">
        <f>Employees!#REF!</f>
        <v>#REF!</v>
      </c>
      <c r="E186" s="139"/>
      <c r="F186" s="142"/>
      <c r="G186" s="139"/>
    </row>
    <row r="187" spans="2:7" ht="165.6" customHeight="1" x14ac:dyDescent="1.8">
      <c r="B187" s="140" t="str">
        <f>Employees!A158</f>
        <v>389</v>
      </c>
      <c r="C187" s="137" t="str">
        <f>Employees!D158</f>
        <v>بن عمار احمد</v>
      </c>
      <c r="D187" s="141" t="e">
        <f>Employees!#REF!</f>
        <v>#REF!</v>
      </c>
      <c r="E187" s="139"/>
      <c r="F187" s="142"/>
      <c r="G187" s="139"/>
    </row>
    <row r="188" spans="2:7" ht="165.6" customHeight="1" x14ac:dyDescent="1.8">
      <c r="B188" s="193" t="s">
        <v>138</v>
      </c>
      <c r="C188" s="193"/>
    </row>
    <row r="189" spans="2:7" ht="165.6" customHeight="1" x14ac:dyDescent="1.8">
      <c r="B189" s="193"/>
      <c r="C189" s="193"/>
      <c r="D189" s="134" t="s">
        <v>707</v>
      </c>
      <c r="E189" s="135" t="s">
        <v>708</v>
      </c>
      <c r="F189" s="135" t="s">
        <v>709</v>
      </c>
      <c r="G189" s="136" t="s">
        <v>710</v>
      </c>
    </row>
    <row r="190" spans="2:7" ht="165.6" customHeight="1" x14ac:dyDescent="1.8">
      <c r="B190" s="137" t="s">
        <v>711</v>
      </c>
      <c r="C190" s="137" t="s">
        <v>712</v>
      </c>
      <c r="D190" s="138"/>
      <c r="E190" s="138"/>
      <c r="F190" s="138"/>
      <c r="G190" s="139"/>
    </row>
    <row r="191" spans="2:7" ht="165.6" customHeight="1" x14ac:dyDescent="1.8">
      <c r="B191" s="140" t="str">
        <f>Employees!A160</f>
        <v>172</v>
      </c>
      <c r="C191" s="137" t="str">
        <f>Employees!D160</f>
        <v xml:space="preserve">قبنة عبد الرحمان </v>
      </c>
      <c r="D191" s="141" t="e">
        <f>Employees!#REF!</f>
        <v>#REF!</v>
      </c>
      <c r="E191" s="139"/>
      <c r="F191" s="142"/>
      <c r="G191" s="139"/>
    </row>
    <row r="192" spans="2:7" ht="165.6" customHeight="1" x14ac:dyDescent="1.8">
      <c r="B192" s="140" t="str">
        <f>Employees!A161</f>
        <v>195</v>
      </c>
      <c r="C192" s="137" t="str">
        <f>Employees!D161</f>
        <v>سلمان لمين</v>
      </c>
      <c r="D192" s="141" t="e">
        <f>Employees!#REF!</f>
        <v>#REF!</v>
      </c>
      <c r="E192" s="139"/>
      <c r="F192" s="142"/>
      <c r="G192" s="139"/>
    </row>
    <row r="193" spans="2:7" ht="165.6" customHeight="1" x14ac:dyDescent="1.8">
      <c r="B193" s="140" t="str">
        <f>Employees!A162</f>
        <v>221</v>
      </c>
      <c r="C193" s="137" t="str">
        <f>Employees!D162</f>
        <v>قرميط ع الرؤوف</v>
      </c>
      <c r="D193" s="141" t="e">
        <f>Employees!#REF!</f>
        <v>#REF!</v>
      </c>
      <c r="E193" s="139"/>
      <c r="F193" s="142"/>
      <c r="G193" s="139"/>
    </row>
    <row r="194" spans="2:7" ht="165.6" customHeight="1" x14ac:dyDescent="1.8">
      <c r="B194" s="140" t="str">
        <f>Employees!A163</f>
        <v>372</v>
      </c>
      <c r="C194" s="137" t="str">
        <f>Employees!D163</f>
        <v>حمدي البشير</v>
      </c>
      <c r="D194" s="141" t="e">
        <f>Employees!#REF!</f>
        <v>#REF!</v>
      </c>
      <c r="E194" s="139"/>
      <c r="F194" s="142"/>
      <c r="G194" s="139"/>
    </row>
    <row r="195" spans="2:7" ht="165.6" customHeight="1" x14ac:dyDescent="1.8">
      <c r="B195" s="193" t="s">
        <v>721</v>
      </c>
      <c r="C195" s="193"/>
    </row>
    <row r="196" spans="2:7" ht="165.6" customHeight="1" x14ac:dyDescent="1.8">
      <c r="B196" s="193"/>
      <c r="C196" s="193"/>
      <c r="D196" s="134" t="s">
        <v>707</v>
      </c>
      <c r="E196" s="135" t="s">
        <v>708</v>
      </c>
      <c r="F196" s="135" t="s">
        <v>709</v>
      </c>
      <c r="G196" s="136" t="s">
        <v>710</v>
      </c>
    </row>
    <row r="197" spans="2:7" ht="165.6" customHeight="1" x14ac:dyDescent="1.8">
      <c r="B197" s="137" t="s">
        <v>711</v>
      </c>
      <c r="C197" s="137" t="s">
        <v>712</v>
      </c>
      <c r="D197" s="138"/>
      <c r="E197" s="138"/>
      <c r="F197" s="138"/>
      <c r="G197" s="139"/>
    </row>
    <row r="198" spans="2:7" ht="165.6" customHeight="1" x14ac:dyDescent="1.8">
      <c r="B198" s="140" t="str">
        <f>Employees!A165</f>
        <v>267</v>
      </c>
      <c r="C198" s="137" t="str">
        <f>Employees!D165</f>
        <v>دشري الحاج علي</v>
      </c>
      <c r="D198" s="141" t="e">
        <f>Employees!#REF!</f>
        <v>#REF!</v>
      </c>
      <c r="E198" s="139"/>
      <c r="F198" s="142"/>
      <c r="G198" s="139"/>
    </row>
    <row r="199" spans="2:7" ht="165.6" customHeight="1" x14ac:dyDescent="1.8">
      <c r="B199" s="140" t="str">
        <f>Employees!A166</f>
        <v>310</v>
      </c>
      <c r="C199" s="137" t="str">
        <f>Employees!D166</f>
        <v>بن بداري عبد الفتاح</v>
      </c>
      <c r="D199" s="141" t="e">
        <f>Employees!#REF!</f>
        <v>#REF!</v>
      </c>
      <c r="E199" s="139"/>
      <c r="F199" s="142"/>
      <c r="G199" s="139"/>
    </row>
    <row r="200" spans="2:7" ht="165.6" customHeight="1" x14ac:dyDescent="1.8">
      <c r="B200" s="193" t="s">
        <v>722</v>
      </c>
      <c r="C200" s="193"/>
    </row>
    <row r="201" spans="2:7" ht="165.6" customHeight="1" x14ac:dyDescent="1.8">
      <c r="B201" s="193"/>
      <c r="C201" s="193"/>
      <c r="D201" s="134" t="s">
        <v>707</v>
      </c>
      <c r="E201" s="135" t="s">
        <v>708</v>
      </c>
      <c r="F201" s="135" t="s">
        <v>709</v>
      </c>
      <c r="G201" s="136" t="s">
        <v>710</v>
      </c>
    </row>
    <row r="202" spans="2:7" ht="165.6" customHeight="1" x14ac:dyDescent="1.8">
      <c r="B202" s="137" t="s">
        <v>711</v>
      </c>
      <c r="C202" s="137" t="s">
        <v>712</v>
      </c>
      <c r="D202" s="138"/>
      <c r="E202" s="138"/>
      <c r="F202" s="138"/>
      <c r="G202" s="139"/>
    </row>
    <row r="203" spans="2:7" ht="165.6" customHeight="1" x14ac:dyDescent="1.8">
      <c r="B203" s="140" t="str">
        <f>Employees!A168</f>
        <v>135</v>
      </c>
      <c r="C203" s="137" t="str">
        <f>Employees!D168</f>
        <v>حميد الوليد</v>
      </c>
      <c r="D203" s="141" t="e">
        <f>Employees!#REF!</f>
        <v>#REF!</v>
      </c>
      <c r="E203" s="139"/>
      <c r="F203" s="142"/>
      <c r="G203" s="139"/>
    </row>
    <row r="204" spans="2:7" ht="165.6" customHeight="1" x14ac:dyDescent="1.8">
      <c r="B204" s="140" t="str">
        <f>Employees!A169</f>
        <v>164</v>
      </c>
      <c r="C204" s="137" t="str">
        <f>Employees!D169</f>
        <v>شمسة محمد</v>
      </c>
      <c r="D204" s="141" t="e">
        <f>Employees!#REF!</f>
        <v>#REF!</v>
      </c>
      <c r="E204" s="139"/>
      <c r="F204" s="142"/>
      <c r="G204" s="139"/>
    </row>
    <row r="205" spans="2:7" ht="165.6" customHeight="1" x14ac:dyDescent="1.8">
      <c r="B205" s="193" t="s">
        <v>723</v>
      </c>
      <c r="C205" s="193"/>
    </row>
    <row r="206" spans="2:7" ht="165.6" customHeight="1" x14ac:dyDescent="1.8">
      <c r="B206" s="193"/>
      <c r="C206" s="193"/>
      <c r="D206" s="134" t="s">
        <v>707</v>
      </c>
      <c r="E206" s="135" t="s">
        <v>708</v>
      </c>
      <c r="F206" s="135" t="s">
        <v>709</v>
      </c>
      <c r="G206" s="136" t="s">
        <v>710</v>
      </c>
    </row>
    <row r="207" spans="2:7" ht="165.6" customHeight="1" x14ac:dyDescent="1.8">
      <c r="B207" s="137" t="s">
        <v>711</v>
      </c>
      <c r="C207" s="137" t="s">
        <v>712</v>
      </c>
      <c r="D207" s="138"/>
      <c r="E207" s="138"/>
      <c r="F207" s="138"/>
      <c r="G207" s="139"/>
    </row>
    <row r="208" spans="2:7" ht="165.6" customHeight="1" x14ac:dyDescent="1.8">
      <c r="B208" s="140" t="str">
        <f>Employees!A171</f>
        <v>217</v>
      </c>
      <c r="C208" s="137" t="str">
        <f>Employees!D171</f>
        <v>خناب محمد الصالح</v>
      </c>
      <c r="D208" s="141" t="e">
        <f>Employees!#REF!</f>
        <v>#REF!</v>
      </c>
      <c r="E208" s="139"/>
      <c r="F208" s="142"/>
      <c r="G208" s="139"/>
    </row>
    <row r="209" spans="2:7" ht="165.6" customHeight="1" x14ac:dyDescent="1.8">
      <c r="B209" s="140" t="str">
        <f>Employees!A172</f>
        <v>245</v>
      </c>
      <c r="C209" s="137" t="str">
        <f>Employees!D172</f>
        <v>زروق عبد الرزاق</v>
      </c>
      <c r="D209" s="141" t="e">
        <f>Employees!#REF!</f>
        <v>#REF!</v>
      </c>
      <c r="E209" s="139"/>
      <c r="F209" s="142"/>
      <c r="G209" s="139"/>
    </row>
    <row r="210" spans="2:7" ht="165.6" customHeight="1" x14ac:dyDescent="1.8">
      <c r="B210" s="193" t="s">
        <v>150</v>
      </c>
      <c r="C210" s="193"/>
    </row>
    <row r="211" spans="2:7" ht="165.6" customHeight="1" x14ac:dyDescent="1.8">
      <c r="B211" s="193"/>
      <c r="C211" s="193"/>
      <c r="D211" s="134" t="s">
        <v>707</v>
      </c>
      <c r="E211" s="135" t="s">
        <v>708</v>
      </c>
      <c r="F211" s="135" t="s">
        <v>709</v>
      </c>
      <c r="G211" s="136" t="s">
        <v>710</v>
      </c>
    </row>
    <row r="212" spans="2:7" ht="165.6" customHeight="1" x14ac:dyDescent="1.8">
      <c r="B212" s="137" t="s">
        <v>711</v>
      </c>
      <c r="C212" s="137" t="s">
        <v>712</v>
      </c>
      <c r="D212" s="138"/>
      <c r="E212" s="138"/>
      <c r="F212" s="138"/>
      <c r="G212" s="139"/>
    </row>
    <row r="213" spans="2:7" ht="165.6" customHeight="1" x14ac:dyDescent="1.8">
      <c r="B213" s="140" t="str">
        <f>Employees!A175</f>
        <v>104</v>
      </c>
      <c r="C213" s="137" t="str">
        <f>Employees!D175</f>
        <v>زغيب توفيق</v>
      </c>
      <c r="D213" s="141" t="e">
        <f>Employees!#REF!</f>
        <v>#REF!</v>
      </c>
      <c r="E213" s="139"/>
      <c r="F213" s="142"/>
      <c r="G213" s="139"/>
    </row>
    <row r="214" spans="2:7" ht="165.6" customHeight="1" x14ac:dyDescent="1.8">
      <c r="B214" s="140" t="str">
        <f>Employees!A176</f>
        <v>118</v>
      </c>
      <c r="C214" s="137" t="str">
        <f>Employees!D176</f>
        <v>محبوبي ع العزيز</v>
      </c>
      <c r="D214" s="141" t="e">
        <f>Employees!#REF!</f>
        <v>#REF!</v>
      </c>
      <c r="E214" s="139"/>
      <c r="F214" s="142"/>
      <c r="G214" s="139"/>
    </row>
    <row r="215" spans="2:7" ht="165.6" customHeight="1" x14ac:dyDescent="1.8">
      <c r="B215" s="140" t="str">
        <f>Employees!A177</f>
        <v>137</v>
      </c>
      <c r="C215" s="137" t="str">
        <f>Employees!D177</f>
        <v xml:space="preserve">شرفي عبد النور </v>
      </c>
      <c r="D215" s="141" t="e">
        <f>Employees!#REF!</f>
        <v>#REF!</v>
      </c>
      <c r="E215" s="139"/>
      <c r="F215" s="142"/>
      <c r="G215" s="139"/>
    </row>
    <row r="216" spans="2:7" ht="165.6" customHeight="1" x14ac:dyDescent="1.8">
      <c r="B216" s="140" t="str">
        <f>Employees!A178</f>
        <v>357</v>
      </c>
      <c r="C216" s="137" t="str">
        <f>Employees!D178</f>
        <v>طنش السعيد</v>
      </c>
      <c r="D216" s="141" t="e">
        <f>Employees!#REF!</f>
        <v>#REF!</v>
      </c>
      <c r="E216" s="139"/>
      <c r="F216" s="142"/>
      <c r="G216" s="139"/>
    </row>
    <row r="217" spans="2:7" ht="165.6" customHeight="1" x14ac:dyDescent="1.8">
      <c r="B217" s="193" t="s">
        <v>155</v>
      </c>
      <c r="C217" s="193"/>
    </row>
    <row r="218" spans="2:7" ht="165.6" customHeight="1" x14ac:dyDescent="1.8">
      <c r="B218" s="193"/>
      <c r="C218" s="193"/>
      <c r="D218" s="134" t="s">
        <v>707</v>
      </c>
      <c r="E218" s="135" t="s">
        <v>708</v>
      </c>
      <c r="F218" s="135" t="s">
        <v>709</v>
      </c>
      <c r="G218" s="136" t="s">
        <v>710</v>
      </c>
    </row>
    <row r="219" spans="2:7" ht="165.6" customHeight="1" x14ac:dyDescent="1.8">
      <c r="B219" s="137" t="s">
        <v>711</v>
      </c>
      <c r="C219" s="137" t="s">
        <v>712</v>
      </c>
      <c r="D219" s="138"/>
      <c r="E219" s="138"/>
      <c r="F219" s="138"/>
      <c r="G219" s="139"/>
    </row>
    <row r="220" spans="2:7" ht="165.6" customHeight="1" x14ac:dyDescent="1.8">
      <c r="B220" s="140" t="str">
        <f>Employees!A181</f>
        <v>44</v>
      </c>
      <c r="C220" s="137" t="str">
        <f>Employees!D181</f>
        <v xml:space="preserve">غريسي أيوب </v>
      </c>
      <c r="D220" s="141" t="e">
        <f>Employees!#REF!</f>
        <v>#REF!</v>
      </c>
      <c r="E220" s="139"/>
      <c r="F220" s="142"/>
      <c r="G220" s="139"/>
    </row>
    <row r="221" spans="2:7" ht="165.6" customHeight="1" x14ac:dyDescent="1.8">
      <c r="B221" s="140" t="str">
        <f>Employees!A182</f>
        <v>78</v>
      </c>
      <c r="C221" s="137" t="str">
        <f>Employees!D182</f>
        <v>مناعي التجاني</v>
      </c>
      <c r="D221" s="141" t="e">
        <f>Employees!#REF!</f>
        <v>#REF!</v>
      </c>
      <c r="E221" s="139"/>
      <c r="F221" s="142"/>
      <c r="G221" s="139"/>
    </row>
    <row r="222" spans="2:7" ht="165.6" customHeight="1" x14ac:dyDescent="1.8">
      <c r="B222" s="140" t="str">
        <f>Employees!A183</f>
        <v>113</v>
      </c>
      <c r="C222" s="137" t="str">
        <f>Employees!D183</f>
        <v>مومن مسعود البشير</v>
      </c>
      <c r="D222" s="141" t="e">
        <f>Employees!#REF!</f>
        <v>#REF!</v>
      </c>
      <c r="E222" s="139"/>
      <c r="F222" s="142"/>
      <c r="G222" s="139"/>
    </row>
    <row r="223" spans="2:7" ht="165.6" customHeight="1" x14ac:dyDescent="1.8">
      <c r="B223" s="140" t="str">
        <f>Employees!A184</f>
        <v>128</v>
      </c>
      <c r="C223" s="137" t="str">
        <f>Employees!D184</f>
        <v>حومدي الياس</v>
      </c>
      <c r="D223" s="141" t="e">
        <f>Employees!#REF!</f>
        <v>#REF!</v>
      </c>
      <c r="E223" s="139"/>
      <c r="F223" s="142"/>
      <c r="G223" s="139"/>
    </row>
    <row r="224" spans="2:7" ht="165.6" customHeight="1" x14ac:dyDescent="1.8">
      <c r="B224" s="140" t="str">
        <f>Employees!A185</f>
        <v>183</v>
      </c>
      <c r="C224" s="137" t="str">
        <f>Employees!D185</f>
        <v xml:space="preserve">هنيات المولدي </v>
      </c>
      <c r="D224" s="141" t="e">
        <f>Employees!#REF!</f>
        <v>#REF!</v>
      </c>
      <c r="E224" s="139"/>
      <c r="F224" s="142"/>
      <c r="G224" s="139"/>
    </row>
    <row r="225" spans="2:7" ht="165.6" customHeight="1" x14ac:dyDescent="1.8">
      <c r="B225" s="140" t="str">
        <f>Employees!A186</f>
        <v>248</v>
      </c>
      <c r="C225" s="137" t="str">
        <f>Employees!D186</f>
        <v>غريسي زكرياء</v>
      </c>
      <c r="D225" s="141" t="e">
        <f>Employees!#REF!</f>
        <v>#REF!</v>
      </c>
      <c r="E225" s="139"/>
      <c r="F225" s="142"/>
      <c r="G225" s="139"/>
    </row>
    <row r="226" spans="2:7" ht="165.6" customHeight="1" x14ac:dyDescent="1.8">
      <c r="B226" s="140" t="str">
        <f>Employees!A187</f>
        <v>305</v>
      </c>
      <c r="C226" s="137" t="str">
        <f>Employees!D187</f>
        <v>مسعودي جمال</v>
      </c>
      <c r="D226" s="141" t="e">
        <f>Employees!#REF!</f>
        <v>#REF!</v>
      </c>
      <c r="E226" s="139"/>
      <c r="F226" s="142"/>
      <c r="G226" s="139"/>
    </row>
    <row r="227" spans="2:7" ht="165.6" customHeight="1" x14ac:dyDescent="1.8">
      <c r="B227" s="140" t="str">
        <f>Employees!A188</f>
        <v>306</v>
      </c>
      <c r="C227" s="137" t="str">
        <f>Employees!D188</f>
        <v>بلخضر ساعد</v>
      </c>
      <c r="D227" s="141" t="e">
        <f>Employees!#REF!</f>
        <v>#REF!</v>
      </c>
      <c r="E227" s="139"/>
      <c r="F227" s="142"/>
      <c r="G227" s="139"/>
    </row>
    <row r="228" spans="2:7" ht="165.6" customHeight="1" x14ac:dyDescent="1.8">
      <c r="B228" s="140" t="str">
        <f>Employees!A189</f>
        <v>328</v>
      </c>
      <c r="C228" s="137" t="str">
        <f>Employees!D189</f>
        <v>بن عبد الله أيمن</v>
      </c>
      <c r="D228" s="141" t="e">
        <f>Employees!#REF!</f>
        <v>#REF!</v>
      </c>
      <c r="E228" s="139"/>
      <c r="F228" s="142"/>
      <c r="G228" s="139"/>
    </row>
    <row r="229" spans="2:7" ht="165.6" customHeight="1" x14ac:dyDescent="1.8">
      <c r="B229" s="140" t="str">
        <f>Employees!A190</f>
        <v>341</v>
      </c>
      <c r="C229" s="137" t="str">
        <f>Employees!D190</f>
        <v>بوضياف بوضياف</v>
      </c>
      <c r="D229" s="141" t="e">
        <f>Employees!#REF!</f>
        <v>#REF!</v>
      </c>
      <c r="E229" s="139"/>
      <c r="F229" s="142"/>
      <c r="G229" s="139"/>
    </row>
    <row r="230" spans="2:7" ht="165.6" customHeight="1" x14ac:dyDescent="1.8">
      <c r="B230" s="140" t="str">
        <f>Employees!A191</f>
        <v>356</v>
      </c>
      <c r="C230" s="137" t="str">
        <f>Employees!D191</f>
        <v>سوفلي عبد الوهاب</v>
      </c>
      <c r="D230" s="141" t="e">
        <f>Employees!#REF!</f>
        <v>#REF!</v>
      </c>
      <c r="E230" s="139"/>
      <c r="F230" s="142"/>
      <c r="G230" s="139"/>
    </row>
    <row r="231" spans="2:7" ht="165.6" customHeight="1" x14ac:dyDescent="1.8">
      <c r="B231" s="140" t="str">
        <f>Employees!A192</f>
        <v>417</v>
      </c>
      <c r="C231" s="137" t="str">
        <f>Employees!D192</f>
        <v>طنش عبد المالك</v>
      </c>
      <c r="D231" s="141" t="e">
        <f>Employees!#REF!</f>
        <v>#REF!</v>
      </c>
      <c r="E231" s="139"/>
      <c r="F231" s="142"/>
      <c r="G231" s="139"/>
    </row>
    <row r="232" spans="2:7" ht="165.6" customHeight="1" x14ac:dyDescent="1.8">
      <c r="B232" s="140" t="str">
        <f>Employees!A194</f>
        <v>468</v>
      </c>
      <c r="C232" s="137" t="str">
        <f>Employees!D194</f>
        <v>سلطانه عبد المجيد</v>
      </c>
      <c r="D232" s="141" t="e">
        <f>Employees!#REF!</f>
        <v>#REF!</v>
      </c>
      <c r="E232" s="139"/>
      <c r="F232" s="142"/>
      <c r="G232" s="139"/>
    </row>
    <row r="233" spans="2:7" ht="165.6" customHeight="1" x14ac:dyDescent="1.8">
      <c r="B233" s="140" t="str">
        <f>Employees!A195</f>
        <v>469</v>
      </c>
      <c r="C233" s="137" t="str">
        <f>Employees!D195</f>
        <v>بيكي محمد رضا</v>
      </c>
      <c r="D233" s="141" t="e">
        <f>Employees!#REF!</f>
        <v>#REF!</v>
      </c>
      <c r="E233" s="139"/>
      <c r="F233" s="142"/>
      <c r="G233" s="139"/>
    </row>
    <row r="234" spans="2:7" ht="165.6" customHeight="1" x14ac:dyDescent="1.8">
      <c r="B234" s="140" t="str">
        <f>Employees!A196</f>
        <v>471</v>
      </c>
      <c r="C234" s="137" t="str">
        <f>Employees!D196</f>
        <v>علاق محمد العربي</v>
      </c>
      <c r="D234" s="141" t="e">
        <f>Employees!#REF!</f>
        <v>#REF!</v>
      </c>
      <c r="E234" s="139"/>
      <c r="F234" s="142"/>
      <c r="G234" s="139"/>
    </row>
    <row r="235" spans="2:7" ht="165.6" customHeight="1" x14ac:dyDescent="1.8">
      <c r="B235" s="193" t="s">
        <v>169</v>
      </c>
      <c r="C235" s="193"/>
    </row>
    <row r="236" spans="2:7" ht="165.6" customHeight="1" x14ac:dyDescent="1.8">
      <c r="B236" s="193"/>
      <c r="C236" s="193"/>
      <c r="D236" s="134" t="s">
        <v>707</v>
      </c>
      <c r="E236" s="135" t="s">
        <v>708</v>
      </c>
      <c r="F236" s="135" t="s">
        <v>709</v>
      </c>
      <c r="G236" s="136" t="s">
        <v>710</v>
      </c>
    </row>
    <row r="237" spans="2:7" ht="165.6" customHeight="1" x14ac:dyDescent="1.8">
      <c r="B237" s="137" t="s">
        <v>711</v>
      </c>
      <c r="C237" s="137" t="s">
        <v>712</v>
      </c>
      <c r="D237" s="138"/>
      <c r="E237" s="138"/>
      <c r="F237" s="138"/>
      <c r="G237" s="139"/>
    </row>
    <row r="238" spans="2:7" ht="165.6" customHeight="1" x14ac:dyDescent="1.8">
      <c r="B238" s="140" t="str">
        <f>Employees!A198</f>
        <v>21</v>
      </c>
      <c r="C238" s="137" t="str">
        <f>Employees!D198</f>
        <v>صبتي محمود التجاني</v>
      </c>
      <c r="D238" s="141" t="e">
        <f>Employees!#REF!</f>
        <v>#REF!</v>
      </c>
      <c r="E238" s="139"/>
      <c r="F238" s="142"/>
      <c r="G238" s="139"/>
    </row>
    <row r="239" spans="2:7" ht="165.6" customHeight="1" x14ac:dyDescent="1.8">
      <c r="B239" s="140" t="str">
        <f>Employees!A199</f>
        <v>39</v>
      </c>
      <c r="C239" s="137" t="str">
        <f>Employees!D199</f>
        <v>معوش الصادق</v>
      </c>
      <c r="D239" s="141" t="e">
        <f>Employees!#REF!</f>
        <v>#REF!</v>
      </c>
      <c r="E239" s="139"/>
      <c r="F239" s="142"/>
      <c r="G239" s="139"/>
    </row>
    <row r="240" spans="2:7" ht="165.6" customHeight="1" x14ac:dyDescent="1.8">
      <c r="B240" s="140" t="str">
        <f>Employees!A200</f>
        <v>40</v>
      </c>
      <c r="C240" s="137" t="str">
        <f>Employees!D200</f>
        <v>تجيني نور الدين</v>
      </c>
      <c r="D240" s="141" t="e">
        <f>Employees!#REF!</f>
        <v>#REF!</v>
      </c>
      <c r="E240" s="139"/>
      <c r="F240" s="142"/>
      <c r="G240" s="139"/>
    </row>
    <row r="241" spans="2:7" ht="165.6" customHeight="1" x14ac:dyDescent="1.8">
      <c r="B241" s="140" t="str">
        <f>Employees!A201</f>
        <v>107</v>
      </c>
      <c r="C241" s="137" t="str">
        <f>Employees!D201</f>
        <v>احميد احمد التجاني</v>
      </c>
      <c r="D241" s="141" t="e">
        <f>Employees!#REF!</f>
        <v>#REF!</v>
      </c>
      <c r="E241" s="139"/>
      <c r="F241" s="142"/>
      <c r="G241" s="139"/>
    </row>
    <row r="242" spans="2:7" ht="165.6" customHeight="1" x14ac:dyDescent="1.8">
      <c r="B242" s="140" t="str">
        <f>Employees!A202</f>
        <v>216</v>
      </c>
      <c r="C242" s="137" t="str">
        <f>Employees!D202</f>
        <v>زغدي محمد الصالح</v>
      </c>
      <c r="D242" s="141" t="e">
        <f>Employees!#REF!</f>
        <v>#REF!</v>
      </c>
      <c r="E242" s="139"/>
      <c r="F242" s="142"/>
      <c r="G242" s="139"/>
    </row>
    <row r="243" spans="2:7" ht="165.6" customHeight="1" x14ac:dyDescent="1.8">
      <c r="B243" s="140" t="str">
        <f>Employees!A203</f>
        <v>236</v>
      </c>
      <c r="C243" s="137" t="str">
        <f>Employees!D203</f>
        <v>عامر عبد المنعم</v>
      </c>
      <c r="D243" s="141" t="e">
        <f>Employees!#REF!</f>
        <v>#REF!</v>
      </c>
      <c r="E243" s="139"/>
      <c r="F243" s="142"/>
      <c r="G243" s="139"/>
    </row>
    <row r="244" spans="2:7" ht="165.6" customHeight="1" x14ac:dyDescent="1.8">
      <c r="B244" s="140" t="str">
        <f>Employees!A204</f>
        <v>242</v>
      </c>
      <c r="C244" s="137" t="str">
        <f>Employees!D204</f>
        <v>بن بردي مسعود</v>
      </c>
      <c r="D244" s="141" t="e">
        <f>Employees!#REF!</f>
        <v>#REF!</v>
      </c>
      <c r="E244" s="139"/>
      <c r="F244" s="142"/>
      <c r="G244" s="139"/>
    </row>
    <row r="245" spans="2:7" ht="165.6" customHeight="1" x14ac:dyDescent="1.8">
      <c r="B245" s="140" t="str">
        <f>Employees!A205</f>
        <v>251</v>
      </c>
      <c r="C245" s="137" t="str">
        <f>Employees!D205</f>
        <v>بن عمر عماد الدين</v>
      </c>
      <c r="D245" s="141" t="e">
        <f>Employees!#REF!</f>
        <v>#REF!</v>
      </c>
      <c r="E245" s="139"/>
      <c r="F245" s="142"/>
      <c r="G245" s="139"/>
    </row>
    <row r="246" spans="2:7" ht="165.6" customHeight="1" x14ac:dyDescent="1.8">
      <c r="B246" s="140" t="str">
        <f>Employees!A206</f>
        <v>269</v>
      </c>
      <c r="C246" s="137" t="str">
        <f>Employees!D206</f>
        <v>غدير عمر امجد</v>
      </c>
      <c r="D246" s="141" t="e">
        <f>Employees!#REF!</f>
        <v>#REF!</v>
      </c>
      <c r="E246" s="139"/>
      <c r="F246" s="142"/>
      <c r="G246" s="139"/>
    </row>
    <row r="247" spans="2:7" ht="165.6" customHeight="1" x14ac:dyDescent="1.8">
      <c r="B247" s="140" t="str">
        <f>Employees!A207</f>
        <v>394</v>
      </c>
      <c r="C247" s="137" t="str">
        <f>Employees!D207</f>
        <v>عباسي عمر</v>
      </c>
      <c r="D247" s="141" t="e">
        <f>Employees!#REF!</f>
        <v>#REF!</v>
      </c>
      <c r="E247" s="139"/>
      <c r="F247" s="142"/>
      <c r="G247" s="139"/>
    </row>
    <row r="248" spans="2:7" ht="165.6" customHeight="1" x14ac:dyDescent="1.8">
      <c r="B248" s="140" t="str">
        <f>Employees!A193</f>
        <v>439</v>
      </c>
      <c r="C248" s="137" t="str">
        <f>Employees!D193</f>
        <v>بن عبدالله حمزة</v>
      </c>
      <c r="D248" s="141" t="e">
        <f>Employees!#REF!</f>
        <v>#REF!</v>
      </c>
      <c r="E248" s="139"/>
      <c r="F248" s="142"/>
      <c r="G248" s="139"/>
    </row>
    <row r="249" spans="2:7" ht="165.6" customHeight="1" x14ac:dyDescent="1.8">
      <c r="B249" s="193" t="s">
        <v>180</v>
      </c>
      <c r="C249" s="193"/>
    </row>
    <row r="250" spans="2:7" ht="165.6" customHeight="1" x14ac:dyDescent="1.8">
      <c r="B250" s="193"/>
      <c r="C250" s="193"/>
      <c r="D250" s="134" t="s">
        <v>707</v>
      </c>
      <c r="E250" s="135" t="s">
        <v>708</v>
      </c>
      <c r="F250" s="135" t="s">
        <v>709</v>
      </c>
      <c r="G250" s="136" t="s">
        <v>710</v>
      </c>
    </row>
    <row r="251" spans="2:7" ht="165.6" customHeight="1" x14ac:dyDescent="1.8">
      <c r="B251" s="137" t="s">
        <v>711</v>
      </c>
      <c r="C251" s="137" t="s">
        <v>712</v>
      </c>
      <c r="D251" s="138"/>
      <c r="E251" s="138"/>
      <c r="F251" s="138"/>
      <c r="G251" s="139"/>
    </row>
    <row r="252" spans="2:7" ht="165.6" customHeight="1" x14ac:dyDescent="1.8">
      <c r="B252" s="140" t="str">
        <f>Employees!A210</f>
        <v>60</v>
      </c>
      <c r="C252" s="137" t="str">
        <f>Employees!D210</f>
        <v xml:space="preserve">عطية سعد </v>
      </c>
      <c r="D252" s="141" t="e">
        <f>Employees!#REF!</f>
        <v>#REF!</v>
      </c>
      <c r="E252" s="139"/>
      <c r="F252" s="142"/>
      <c r="G252" s="139"/>
    </row>
    <row r="253" spans="2:7" ht="165.6" customHeight="1" x14ac:dyDescent="1.8">
      <c r="B253" s="140" t="str">
        <f>Employees!A212</f>
        <v>213</v>
      </c>
      <c r="C253" s="137" t="str">
        <f>Employees!D212</f>
        <v>جويدة احمد فوزي</v>
      </c>
      <c r="D253" s="141" t="e">
        <f>Employees!#REF!</f>
        <v>#REF!</v>
      </c>
      <c r="E253" s="139"/>
      <c r="F253" s="142"/>
      <c r="G253" s="139"/>
    </row>
    <row r="254" spans="2:7" ht="165.6" customHeight="1" x14ac:dyDescent="1.8">
      <c r="B254" s="140" t="str">
        <f>Employees!A213</f>
        <v>214</v>
      </c>
      <c r="C254" s="137" t="str">
        <f>Employees!D213</f>
        <v>لعوج حسن</v>
      </c>
      <c r="D254" s="141" t="e">
        <f>Employees!#REF!</f>
        <v>#REF!</v>
      </c>
      <c r="E254" s="139"/>
      <c r="F254" s="142"/>
      <c r="G254" s="139"/>
    </row>
    <row r="255" spans="2:7" ht="165.6" customHeight="1" x14ac:dyDescent="1.8">
      <c r="B255" s="140" t="str">
        <f>Employees!A215</f>
        <v>232</v>
      </c>
      <c r="C255" s="137" t="str">
        <f>Employees!D215</f>
        <v>حبيب بلقاسم</v>
      </c>
      <c r="D255" s="141" t="e">
        <f>Employees!#REF!</f>
        <v>#REF!</v>
      </c>
      <c r="E255" s="139"/>
      <c r="F255" s="142"/>
      <c r="G255" s="139"/>
    </row>
    <row r="256" spans="2:7" ht="165.6" customHeight="1" x14ac:dyDescent="1.8">
      <c r="B256" s="140" t="str">
        <f>Employees!A216</f>
        <v>237</v>
      </c>
      <c r="C256" s="137" t="str">
        <f>Employees!D216</f>
        <v>وذيني بلال</v>
      </c>
      <c r="D256" s="141" t="e">
        <f>Employees!#REF!</f>
        <v>#REF!</v>
      </c>
      <c r="E256" s="139"/>
      <c r="F256" s="142"/>
      <c r="G256" s="139"/>
    </row>
    <row r="257" spans="2:7" ht="165.6" customHeight="1" x14ac:dyDescent="1.8">
      <c r="B257" s="140" t="str">
        <f>Employees!A217</f>
        <v>243</v>
      </c>
      <c r="C257" s="137" t="str">
        <f>Employees!D217</f>
        <v>سباق عبد القادر بوبكر</v>
      </c>
      <c r="D257" s="141" t="e">
        <f>Employees!#REF!</f>
        <v>#REF!</v>
      </c>
      <c r="E257" s="139"/>
      <c r="F257" s="142"/>
      <c r="G257" s="139"/>
    </row>
    <row r="258" spans="2:7" ht="165.6" customHeight="1" x14ac:dyDescent="1.8">
      <c r="B258" s="140" t="str">
        <f>Employees!A218</f>
        <v>302</v>
      </c>
      <c r="C258" s="137" t="str">
        <f>Employees!D218</f>
        <v>غنابزية عبد الكامل</v>
      </c>
      <c r="D258" s="141" t="e">
        <f>Employees!#REF!</f>
        <v>#REF!</v>
      </c>
      <c r="E258" s="139"/>
      <c r="F258" s="142"/>
      <c r="G258" s="139"/>
    </row>
    <row r="259" spans="2:7" ht="165.6" customHeight="1" x14ac:dyDescent="1.8">
      <c r="B259" s="140" t="str">
        <f>Employees!A219</f>
        <v>314</v>
      </c>
      <c r="C259" s="137" t="str">
        <f>Employees!D219</f>
        <v>هيمة ابراهيم</v>
      </c>
      <c r="D259" s="141" t="e">
        <f>Employees!#REF!</f>
        <v>#REF!</v>
      </c>
      <c r="E259" s="139"/>
      <c r="F259" s="142"/>
      <c r="G259" s="139"/>
    </row>
    <row r="260" spans="2:7" ht="165.6" customHeight="1" x14ac:dyDescent="1.8">
      <c r="B260" s="140" t="str">
        <f>Employees!A220</f>
        <v>345</v>
      </c>
      <c r="C260" s="137" t="str">
        <f>Employees!D220</f>
        <v>بركة مسعود</v>
      </c>
      <c r="D260" s="141" t="e">
        <f>Employees!#REF!</f>
        <v>#REF!</v>
      </c>
      <c r="E260" s="139"/>
      <c r="F260" s="142"/>
      <c r="G260" s="139"/>
    </row>
    <row r="261" spans="2:7" ht="165.6" customHeight="1" x14ac:dyDescent="1.8">
      <c r="B261" s="140" t="str">
        <f>Employees!A221</f>
        <v>404</v>
      </c>
      <c r="C261" s="137" t="str">
        <f>Employees!D221</f>
        <v>سالم عبد السلام</v>
      </c>
      <c r="D261" s="141" t="e">
        <f>Employees!#REF!</f>
        <v>#REF!</v>
      </c>
      <c r="E261" s="139"/>
      <c r="F261" s="142"/>
      <c r="G261" s="139"/>
    </row>
    <row r="262" spans="2:7" ht="165.6" customHeight="1" x14ac:dyDescent="1.8">
      <c r="B262" s="140" t="str">
        <f>Employees!A222</f>
        <v>470</v>
      </c>
      <c r="C262" s="137" t="str">
        <f>Employees!D222</f>
        <v>زويزيه مبروك</v>
      </c>
      <c r="D262" s="141" t="e">
        <f>Employees!#REF!</f>
        <v>#REF!</v>
      </c>
      <c r="E262" s="139"/>
      <c r="F262" s="142"/>
      <c r="G262" s="139"/>
    </row>
    <row r="263" spans="2:7" ht="165.6" customHeight="1" x14ac:dyDescent="1.8">
      <c r="B263" s="193" t="s">
        <v>192</v>
      </c>
      <c r="C263" s="193"/>
    </row>
    <row r="264" spans="2:7" ht="165.6" customHeight="1" x14ac:dyDescent="1.8">
      <c r="B264" s="193"/>
      <c r="C264" s="193"/>
      <c r="D264" s="134" t="s">
        <v>707</v>
      </c>
      <c r="E264" s="135" t="s">
        <v>708</v>
      </c>
      <c r="F264" s="135" t="s">
        <v>709</v>
      </c>
      <c r="G264" s="136" t="s">
        <v>710</v>
      </c>
    </row>
    <row r="265" spans="2:7" ht="165.6" customHeight="1" x14ac:dyDescent="1.8">
      <c r="B265" s="137" t="s">
        <v>711</v>
      </c>
      <c r="C265" s="137" t="s">
        <v>712</v>
      </c>
      <c r="D265" s="138"/>
      <c r="E265" s="138"/>
      <c r="F265" s="138"/>
      <c r="G265" s="139"/>
    </row>
    <row r="266" spans="2:7" ht="165.6" customHeight="1" x14ac:dyDescent="1.8">
      <c r="B266" s="140" t="str">
        <f>Employees!A224</f>
        <v>36</v>
      </c>
      <c r="C266" s="137" t="str">
        <f>Employees!D224</f>
        <v>شريف أحمد</v>
      </c>
      <c r="D266" s="141" t="e">
        <f>Employees!#REF!</f>
        <v>#REF!</v>
      </c>
      <c r="E266" s="139"/>
      <c r="F266" s="142"/>
      <c r="G266" s="139"/>
    </row>
    <row r="267" spans="2:7" ht="165.6" customHeight="1" x14ac:dyDescent="1.8">
      <c r="B267" s="140" t="str">
        <f>Employees!A225</f>
        <v>101</v>
      </c>
      <c r="C267" s="137" t="str">
        <f>Employees!D225</f>
        <v>غربي جمال</v>
      </c>
      <c r="D267" s="141" t="e">
        <f>Employees!#REF!</f>
        <v>#REF!</v>
      </c>
      <c r="E267" s="139"/>
      <c r="F267" s="142"/>
      <c r="G267" s="139"/>
    </row>
    <row r="268" spans="2:7" ht="165.6" customHeight="1" x14ac:dyDescent="1.8">
      <c r="B268" s="140" t="str">
        <f>Employees!A226</f>
        <v>133</v>
      </c>
      <c r="C268" s="137" t="str">
        <f>Employees!D226</f>
        <v>بن علية شكري</v>
      </c>
      <c r="D268" s="141" t="e">
        <f>Employees!#REF!</f>
        <v>#REF!</v>
      </c>
      <c r="E268" s="139"/>
      <c r="F268" s="142"/>
      <c r="G268" s="139"/>
    </row>
    <row r="269" spans="2:7" ht="165.6" customHeight="1" x14ac:dyDescent="1.8">
      <c r="B269" s="140" t="str">
        <f>Employees!A227</f>
        <v>134</v>
      </c>
      <c r="C269" s="137" t="str">
        <f>Employees!D227</f>
        <v xml:space="preserve">تليلي الهادي </v>
      </c>
      <c r="D269" s="141" t="e">
        <f>Employees!#REF!</f>
        <v>#REF!</v>
      </c>
      <c r="E269" s="139"/>
      <c r="F269" s="142"/>
      <c r="G269" s="139"/>
    </row>
    <row r="270" spans="2:7" ht="165.6" customHeight="1" x14ac:dyDescent="1.8">
      <c r="B270" s="140" t="str">
        <f>Employees!A228</f>
        <v>156</v>
      </c>
      <c r="C270" s="137" t="str">
        <f>Employees!D228</f>
        <v>عياشي عمر عبد الفتاح</v>
      </c>
      <c r="D270" s="141" t="e">
        <f>Employees!#REF!</f>
        <v>#REF!</v>
      </c>
      <c r="E270" s="139"/>
      <c r="F270" s="142"/>
      <c r="G270" s="139"/>
    </row>
    <row r="271" spans="2:7" ht="165.6" customHeight="1" x14ac:dyDescent="1.8">
      <c r="B271" s="140" t="str">
        <f>Employees!A229</f>
        <v>224</v>
      </c>
      <c r="C271" s="137" t="str">
        <f>Employees!D229</f>
        <v>فارس مراد</v>
      </c>
      <c r="D271" s="141" t="e">
        <f>Employees!#REF!</f>
        <v>#REF!</v>
      </c>
      <c r="E271" s="139"/>
      <c r="F271" s="142"/>
      <c r="G271" s="139"/>
    </row>
    <row r="272" spans="2:7" ht="165.6" customHeight="1" x14ac:dyDescent="1.8">
      <c r="B272" s="140" t="str">
        <f>Employees!A230</f>
        <v>274</v>
      </c>
      <c r="C272" s="137" t="str">
        <f>Employees!D230</f>
        <v xml:space="preserve">غريسي معتز </v>
      </c>
      <c r="D272" s="141" t="e">
        <f>Employees!#REF!</f>
        <v>#REF!</v>
      </c>
      <c r="E272" s="139"/>
      <c r="F272" s="142"/>
      <c r="G272" s="139"/>
    </row>
    <row r="273" spans="2:7" ht="165.6" customHeight="1" x14ac:dyDescent="1.8">
      <c r="B273" s="140" t="str">
        <f>Employees!A231</f>
        <v>275</v>
      </c>
      <c r="C273" s="137" t="str">
        <f>Employees!D231</f>
        <v xml:space="preserve">بن الشهبة ع العزيز </v>
      </c>
      <c r="D273" s="141" t="e">
        <f>Employees!#REF!</f>
        <v>#REF!</v>
      </c>
      <c r="E273" s="139"/>
      <c r="F273" s="142"/>
      <c r="G273" s="139"/>
    </row>
    <row r="274" spans="2:7" ht="165.6" customHeight="1" x14ac:dyDescent="1.8">
      <c r="B274" s="193" t="s">
        <v>199</v>
      </c>
      <c r="C274" s="193"/>
    </row>
    <row r="275" spans="2:7" ht="165.6" customHeight="1" x14ac:dyDescent="1.8">
      <c r="B275" s="193"/>
      <c r="C275" s="193"/>
      <c r="D275" s="134" t="s">
        <v>707</v>
      </c>
      <c r="E275" s="135" t="s">
        <v>708</v>
      </c>
      <c r="F275" s="135" t="s">
        <v>709</v>
      </c>
      <c r="G275" s="136" t="s">
        <v>710</v>
      </c>
    </row>
    <row r="276" spans="2:7" ht="165.6" customHeight="1" x14ac:dyDescent="1.8">
      <c r="B276" s="137" t="s">
        <v>711</v>
      </c>
      <c r="C276" s="137" t="s">
        <v>712</v>
      </c>
      <c r="D276" s="138"/>
      <c r="E276" s="138"/>
      <c r="F276" s="138"/>
      <c r="G276" s="139"/>
    </row>
    <row r="277" spans="2:7" ht="165.6" customHeight="1" x14ac:dyDescent="1.8">
      <c r="B277" s="140" t="str">
        <f>Employees!A233</f>
        <v>41</v>
      </c>
      <c r="C277" s="137" t="str">
        <f>Employees!D233</f>
        <v xml:space="preserve">جلاب السعيد </v>
      </c>
      <c r="D277" s="141" t="e">
        <f>Employees!#REF!</f>
        <v>#REF!</v>
      </c>
      <c r="E277" s="139"/>
      <c r="F277" s="142"/>
      <c r="G277" s="139"/>
    </row>
    <row r="278" spans="2:7" ht="165.6" customHeight="1" x14ac:dyDescent="1.8">
      <c r="B278" s="140" t="str">
        <f>Employees!A234</f>
        <v>96</v>
      </c>
      <c r="C278" s="137" t="str">
        <f>Employees!D234</f>
        <v>سوداني جمال</v>
      </c>
      <c r="D278" s="141" t="e">
        <f>Employees!#REF!</f>
        <v>#REF!</v>
      </c>
      <c r="E278" s="139"/>
      <c r="F278" s="142"/>
      <c r="G278" s="139"/>
    </row>
    <row r="279" spans="2:7" ht="165.6" customHeight="1" x14ac:dyDescent="1.8">
      <c r="B279" s="140" t="str">
        <f>Employees!A235</f>
        <v>284</v>
      </c>
      <c r="C279" s="137" t="str">
        <f>Employees!D235</f>
        <v>تجاني أيوب</v>
      </c>
      <c r="D279" s="141" t="e">
        <f>Employees!#REF!</f>
        <v>#REF!</v>
      </c>
      <c r="E279" s="139"/>
      <c r="F279" s="142"/>
      <c r="G279" s="139"/>
    </row>
    <row r="280" spans="2:7" ht="165.6" customHeight="1" x14ac:dyDescent="1.8">
      <c r="B280" s="140" t="str">
        <f>Employees!A236</f>
        <v>299</v>
      </c>
      <c r="C280" s="137" t="str">
        <f>Employees!D236</f>
        <v>يحياوي ياسين</v>
      </c>
      <c r="D280" s="141" t="e">
        <f>Employees!#REF!</f>
        <v>#REF!</v>
      </c>
      <c r="E280" s="139"/>
      <c r="F280" s="142"/>
      <c r="G280" s="139"/>
    </row>
    <row r="281" spans="2:7" ht="165.6" customHeight="1" x14ac:dyDescent="1.8">
      <c r="B281" s="140" t="str">
        <f>Employees!A237</f>
        <v>333</v>
      </c>
      <c r="C281" s="137" t="str">
        <f>Employees!D237</f>
        <v>مداوي يوسف</v>
      </c>
      <c r="D281" s="141" t="e">
        <f>Employees!#REF!</f>
        <v>#REF!</v>
      </c>
      <c r="E281" s="139"/>
      <c r="F281" s="142"/>
      <c r="G281" s="139"/>
    </row>
    <row r="282" spans="2:7" ht="165.6" customHeight="1" x14ac:dyDescent="1.8">
      <c r="B282" s="140" t="str">
        <f>Employees!A238</f>
        <v>352</v>
      </c>
      <c r="C282" s="137" t="str">
        <f>Employees!D238</f>
        <v>تجيني الحسين</v>
      </c>
      <c r="D282" s="141" t="e">
        <f>Employees!#REF!</f>
        <v>#REF!</v>
      </c>
      <c r="E282" s="139"/>
      <c r="F282" s="142"/>
      <c r="G282" s="139"/>
    </row>
    <row r="283" spans="2:7" ht="165.6" customHeight="1" x14ac:dyDescent="1.8">
      <c r="B283" s="140" t="str">
        <f>Employees!A239</f>
        <v>374</v>
      </c>
      <c r="C283" s="137" t="str">
        <f>Employees!D239</f>
        <v>غدير عمر عبد الغني</v>
      </c>
      <c r="D283" s="141" t="e">
        <f>Employees!#REF!</f>
        <v>#REF!</v>
      </c>
      <c r="E283" s="139"/>
      <c r="F283" s="142"/>
      <c r="G283" s="139"/>
    </row>
    <row r="284" spans="2:7" ht="165.6" customHeight="1" x14ac:dyDescent="1.8">
      <c r="B284" s="193" t="s">
        <v>208</v>
      </c>
      <c r="C284" s="193"/>
    </row>
    <row r="285" spans="2:7" ht="165.6" customHeight="1" x14ac:dyDescent="1.8">
      <c r="B285" s="193"/>
      <c r="C285" s="193"/>
      <c r="D285" s="134" t="s">
        <v>707</v>
      </c>
      <c r="E285" s="135" t="s">
        <v>708</v>
      </c>
      <c r="F285" s="135" t="s">
        <v>709</v>
      </c>
      <c r="G285" s="136" t="s">
        <v>710</v>
      </c>
    </row>
    <row r="286" spans="2:7" ht="165.6" customHeight="1" x14ac:dyDescent="1.8">
      <c r="B286" s="137" t="s">
        <v>711</v>
      </c>
      <c r="C286" s="137" t="s">
        <v>712</v>
      </c>
      <c r="D286" s="138"/>
      <c r="E286" s="138"/>
      <c r="F286" s="138"/>
      <c r="G286" s="139"/>
    </row>
    <row r="287" spans="2:7" ht="165.6" customHeight="1" x14ac:dyDescent="1.8">
      <c r="B287" s="140" t="str">
        <f>Employees!A242</f>
        <v>26</v>
      </c>
      <c r="C287" s="137" t="str">
        <f>Employees!D242</f>
        <v>بن حوة عبد القادر</v>
      </c>
      <c r="D287" s="141" t="e">
        <f>Employees!#REF!</f>
        <v>#REF!</v>
      </c>
      <c r="E287" s="139"/>
      <c r="F287" s="142"/>
      <c r="G287" s="139"/>
    </row>
    <row r="288" spans="2:7" ht="165.6" customHeight="1" x14ac:dyDescent="1.8">
      <c r="B288" s="140" t="str">
        <f>Employees!A243</f>
        <v>98</v>
      </c>
      <c r="C288" s="137" t="str">
        <f>Employees!D243</f>
        <v>بن حوة اسماعيل</v>
      </c>
      <c r="D288" s="141" t="e">
        <f>Employees!#REF!</f>
        <v>#REF!</v>
      </c>
      <c r="E288" s="139"/>
      <c r="F288" s="142"/>
      <c r="G288" s="139"/>
    </row>
    <row r="289" spans="2:7" ht="165.6" customHeight="1" x14ac:dyDescent="1.8">
      <c r="B289" s="140" t="str">
        <f>Employees!A245</f>
        <v>279</v>
      </c>
      <c r="C289" s="137" t="str">
        <f>Employees!D245</f>
        <v>زغدي كمال</v>
      </c>
      <c r="D289" s="141" t="e">
        <f>Employees!#REF!</f>
        <v>#REF!</v>
      </c>
      <c r="E289" s="139"/>
      <c r="F289" s="142"/>
      <c r="G289" s="139"/>
    </row>
    <row r="290" spans="2:7" ht="165.6" customHeight="1" x14ac:dyDescent="1.8">
      <c r="B290" s="140" t="str">
        <f>Employees!A246</f>
        <v>288</v>
      </c>
      <c r="C290" s="137" t="str">
        <f>Employees!D246</f>
        <v>بلقاضي لمنور</v>
      </c>
      <c r="D290" s="141" t="e">
        <f>Employees!#REF!</f>
        <v>#REF!</v>
      </c>
      <c r="E290" s="139"/>
      <c r="F290" s="142"/>
      <c r="G290" s="139"/>
    </row>
    <row r="291" spans="2:7" ht="165.6" customHeight="1" x14ac:dyDescent="1.8">
      <c r="B291" s="140" t="str">
        <f>Employees!A247</f>
        <v>321</v>
      </c>
      <c r="C291" s="137" t="str">
        <f>Employees!D247</f>
        <v>دحمري فوزي</v>
      </c>
      <c r="D291" s="141" t="e">
        <f>Employees!#REF!</f>
        <v>#REF!</v>
      </c>
      <c r="E291" s="139"/>
      <c r="F291" s="142"/>
      <c r="G291" s="139"/>
    </row>
    <row r="292" spans="2:7" ht="165.6" customHeight="1" x14ac:dyDescent="1.8">
      <c r="B292" s="140" t="str">
        <f>Employees!A248</f>
        <v>366</v>
      </c>
      <c r="C292" s="137" t="str">
        <f>Employees!D248</f>
        <v>بوذينة عماد الدين</v>
      </c>
      <c r="D292" s="141" t="e">
        <f>Employees!#REF!</f>
        <v>#REF!</v>
      </c>
      <c r="E292" s="139"/>
      <c r="F292" s="142"/>
      <c r="G292" s="139"/>
    </row>
    <row r="293" spans="2:7" ht="165.6" customHeight="1" x14ac:dyDescent="1.8">
      <c r="B293" s="140" t="str">
        <f>Employees!A249</f>
        <v>422</v>
      </c>
      <c r="C293" s="137" t="str">
        <f>Employees!D249</f>
        <v>غريسي خليفة</v>
      </c>
      <c r="D293" s="141" t="e">
        <f>Employees!#REF!</f>
        <v>#REF!</v>
      </c>
      <c r="E293" s="139"/>
      <c r="F293" s="142"/>
      <c r="G293" s="139"/>
    </row>
    <row r="294" spans="2:7" ht="165.6" customHeight="1" x14ac:dyDescent="1.8">
      <c r="B294" s="193" t="s">
        <v>216</v>
      </c>
      <c r="C294" s="193"/>
    </row>
    <row r="295" spans="2:7" ht="165.6" customHeight="1" x14ac:dyDescent="1.8">
      <c r="B295" s="193"/>
      <c r="C295" s="193"/>
      <c r="D295" s="134" t="s">
        <v>707</v>
      </c>
      <c r="E295" s="135" t="s">
        <v>708</v>
      </c>
      <c r="F295" s="135" t="s">
        <v>709</v>
      </c>
      <c r="G295" s="136" t="s">
        <v>710</v>
      </c>
    </row>
    <row r="296" spans="2:7" ht="165.6" customHeight="1" x14ac:dyDescent="1.8">
      <c r="B296" s="137" t="s">
        <v>711</v>
      </c>
      <c r="C296" s="137" t="s">
        <v>712</v>
      </c>
      <c r="D296" s="138"/>
      <c r="E296" s="138"/>
      <c r="F296" s="138"/>
      <c r="G296" s="139"/>
    </row>
    <row r="297" spans="2:7" ht="165.6" customHeight="1" x14ac:dyDescent="1.8">
      <c r="B297" s="140" t="str">
        <f>Employees!A251</f>
        <v>72</v>
      </c>
      <c r="C297" s="137" t="str">
        <f>Employees!D251</f>
        <v>بن يامة ابراهيم</v>
      </c>
      <c r="D297" s="141" t="e">
        <f>Employees!#REF!</f>
        <v>#REF!</v>
      </c>
      <c r="E297" s="138"/>
      <c r="F297" s="138"/>
      <c r="G297" s="139"/>
    </row>
    <row r="298" spans="2:7" ht="165.6" customHeight="1" x14ac:dyDescent="1.8">
      <c r="B298" s="140" t="str">
        <f>Employees!A252</f>
        <v>75</v>
      </c>
      <c r="C298" s="137" t="str">
        <f>Employees!D252</f>
        <v>عتيق محمد</v>
      </c>
      <c r="D298" s="141" t="e">
        <f>Employees!#REF!</f>
        <v>#REF!</v>
      </c>
      <c r="E298" s="138"/>
      <c r="F298" s="138"/>
      <c r="G298" s="139"/>
    </row>
    <row r="299" spans="2:7" ht="165.6" customHeight="1" x14ac:dyDescent="1.8">
      <c r="B299" s="140" t="str">
        <f>Employees!A253</f>
        <v>108</v>
      </c>
      <c r="C299" s="137" t="str">
        <f>Employees!D253</f>
        <v>ميموني حسين</v>
      </c>
      <c r="D299" s="141" t="e">
        <f>Employees!#REF!</f>
        <v>#REF!</v>
      </c>
      <c r="E299" s="138"/>
      <c r="F299" s="138"/>
      <c r="G299" s="139"/>
    </row>
    <row r="300" spans="2:7" ht="165.6" customHeight="1" x14ac:dyDescent="1.8">
      <c r="B300" s="140" t="str">
        <f>Employees!A254</f>
        <v>144</v>
      </c>
      <c r="C300" s="137" t="str">
        <f>Employees!D254</f>
        <v>صوالح احميمة سعد</v>
      </c>
      <c r="D300" s="141" t="e">
        <f>Employees!#REF!</f>
        <v>#REF!</v>
      </c>
      <c r="E300" s="139"/>
      <c r="F300" s="142"/>
      <c r="G300" s="139"/>
    </row>
    <row r="301" spans="2:7" ht="165.6" customHeight="1" x14ac:dyDescent="1.8">
      <c r="B301" s="140" t="str">
        <f>Employees!A255</f>
        <v>201</v>
      </c>
      <c r="C301" s="137" t="str">
        <f>Employees!D255</f>
        <v>مسعي محمد السعيد</v>
      </c>
      <c r="D301" s="141" t="e">
        <f>Employees!#REF!</f>
        <v>#REF!</v>
      </c>
      <c r="E301" s="139"/>
      <c r="F301" s="142"/>
      <c r="G301" s="139"/>
    </row>
    <row r="302" spans="2:7" ht="165.6" customHeight="1" x14ac:dyDescent="1.8">
      <c r="B302" s="140" t="str">
        <f>Employees!A256</f>
        <v>209</v>
      </c>
      <c r="C302" s="137" t="str">
        <f>Employees!D256</f>
        <v>سلامة احمد بشير</v>
      </c>
      <c r="D302" s="141" t="e">
        <f>Employees!#REF!</f>
        <v>#REF!</v>
      </c>
      <c r="E302" s="139"/>
      <c r="F302" s="142"/>
      <c r="G302" s="139"/>
    </row>
    <row r="303" spans="2:7" ht="165.6" customHeight="1" x14ac:dyDescent="1.8">
      <c r="B303" s="140" t="str">
        <f>Employees!A257</f>
        <v>265</v>
      </c>
      <c r="C303" s="137" t="str">
        <f>Employees!D257</f>
        <v>حقيق لطفي</v>
      </c>
      <c r="D303" s="141" t="e">
        <f>Employees!#REF!</f>
        <v>#REF!</v>
      </c>
      <c r="E303" s="139"/>
      <c r="F303" s="142"/>
      <c r="G303" s="139"/>
    </row>
    <row r="304" spans="2:7" ht="165.6" customHeight="1" x14ac:dyDescent="1.8">
      <c r="B304" s="140" t="str">
        <f>Employees!A258</f>
        <v>322</v>
      </c>
      <c r="C304" s="137" t="str">
        <f>Employees!D258</f>
        <v>غنبازي مبروك</v>
      </c>
      <c r="D304" s="141" t="e">
        <f>Employees!#REF!</f>
        <v>#REF!</v>
      </c>
      <c r="E304" s="139"/>
      <c r="F304" s="142"/>
      <c r="G304" s="139"/>
    </row>
    <row r="305" spans="2:7" ht="165.6" customHeight="1" x14ac:dyDescent="1.8">
      <c r="B305" s="140" t="str">
        <f>Employees!A259</f>
        <v>402</v>
      </c>
      <c r="C305" s="137" t="str">
        <f>Employees!D259</f>
        <v>بله عماد الدين</v>
      </c>
      <c r="D305" s="141" t="e">
        <f>Employees!#REF!</f>
        <v>#REF!</v>
      </c>
      <c r="E305" s="139"/>
      <c r="F305" s="142"/>
      <c r="G305" s="139"/>
    </row>
    <row r="306" spans="2:7" ht="165.6" customHeight="1" x14ac:dyDescent="1.8">
      <c r="B306" s="140" t="str">
        <f>Employees!A260</f>
        <v>415</v>
      </c>
      <c r="C306" s="137" t="str">
        <f>Employees!D260</f>
        <v>عباسي السعيد</v>
      </c>
      <c r="D306" s="141" t="e">
        <f>Employees!#REF!</f>
        <v>#REF!</v>
      </c>
      <c r="E306" s="139"/>
      <c r="F306" s="142"/>
      <c r="G306" s="139"/>
    </row>
    <row r="307" spans="2:7" ht="165.6" customHeight="1" x14ac:dyDescent="1.8">
      <c r="B307" s="193" t="s">
        <v>224</v>
      </c>
      <c r="C307" s="193"/>
    </row>
    <row r="308" spans="2:7" ht="165.6" customHeight="1" x14ac:dyDescent="1.8">
      <c r="B308" s="193"/>
      <c r="C308" s="193"/>
      <c r="D308" s="134" t="s">
        <v>707</v>
      </c>
      <c r="E308" s="135" t="s">
        <v>708</v>
      </c>
      <c r="F308" s="135" t="s">
        <v>709</v>
      </c>
      <c r="G308" s="136" t="s">
        <v>710</v>
      </c>
    </row>
    <row r="309" spans="2:7" ht="165.6" customHeight="1" x14ac:dyDescent="1.8">
      <c r="B309" s="137" t="s">
        <v>711</v>
      </c>
      <c r="C309" s="137" t="s">
        <v>712</v>
      </c>
      <c r="D309" s="138"/>
      <c r="E309" s="138"/>
      <c r="F309" s="138"/>
      <c r="G309" s="139"/>
    </row>
    <row r="310" spans="2:7" ht="165.6" customHeight="1" x14ac:dyDescent="1.8">
      <c r="B310" s="140" t="str">
        <f>Employees!A262</f>
        <v>92</v>
      </c>
      <c r="C310" s="137" t="str">
        <f>Employees!D262</f>
        <v xml:space="preserve">غريسي ع الله </v>
      </c>
      <c r="D310" s="141" t="e">
        <f>Employees!#REF!</f>
        <v>#REF!</v>
      </c>
      <c r="E310" s="139"/>
      <c r="F310" s="142"/>
      <c r="G310" s="139"/>
    </row>
    <row r="311" spans="2:7" ht="165.6" customHeight="1" x14ac:dyDescent="1.8">
      <c r="B311" s="140" t="str">
        <f>Employees!A263</f>
        <v>148</v>
      </c>
      <c r="C311" s="137" t="str">
        <f>Employees!D263</f>
        <v>مراد عبد القادر</v>
      </c>
      <c r="D311" s="141" t="e">
        <f>Employees!#REF!</f>
        <v>#REF!</v>
      </c>
      <c r="E311" s="139"/>
      <c r="F311" s="142"/>
      <c r="G311" s="139"/>
    </row>
    <row r="312" spans="2:7" ht="165.6" customHeight="1" x14ac:dyDescent="1.8">
      <c r="B312" s="140" t="str">
        <f>Employees!A264</f>
        <v>210</v>
      </c>
      <c r="C312" s="137" t="str">
        <f>Employees!D264</f>
        <v>نصبة ابراهيم</v>
      </c>
      <c r="D312" s="141" t="e">
        <f>Employees!#REF!</f>
        <v>#REF!</v>
      </c>
      <c r="E312" s="139"/>
      <c r="F312" s="142"/>
      <c r="G312" s="139"/>
    </row>
    <row r="313" spans="2:7" ht="165.6" customHeight="1" x14ac:dyDescent="1.8">
      <c r="B313" s="140" t="str">
        <f>Employees!A265</f>
        <v>229</v>
      </c>
      <c r="C313" s="137" t="str">
        <f>Employees!D265</f>
        <v>سلمي احمد</v>
      </c>
      <c r="D313" s="141" t="e">
        <f>Employees!#REF!</f>
        <v>#REF!</v>
      </c>
      <c r="E313" s="139"/>
      <c r="F313" s="142"/>
      <c r="G313" s="139"/>
    </row>
    <row r="314" spans="2:7" ht="165.6" customHeight="1" x14ac:dyDescent="1.8">
      <c r="B314" s="140" t="str">
        <f>Employees!A266</f>
        <v>230</v>
      </c>
      <c r="C314" s="137" t="str">
        <f>Employees!D266</f>
        <v>زغيب السعيد</v>
      </c>
      <c r="D314" s="141" t="e">
        <f>Employees!#REF!</f>
        <v>#REF!</v>
      </c>
      <c r="E314" s="139"/>
      <c r="F314" s="142"/>
      <c r="G314" s="139"/>
    </row>
    <row r="315" spans="2:7" ht="165.6" customHeight="1" x14ac:dyDescent="1.8">
      <c r="B315" s="140" t="str">
        <f>Employees!A267</f>
        <v>318</v>
      </c>
      <c r="C315" s="137" t="str">
        <f>Employees!D267</f>
        <v>بوقطاية محمد السعيد</v>
      </c>
      <c r="D315" s="141" t="e">
        <f>Employees!#REF!</f>
        <v>#REF!</v>
      </c>
      <c r="E315" s="139"/>
      <c r="F315" s="142"/>
      <c r="G315" s="139"/>
    </row>
    <row r="316" spans="2:7" ht="165.6" customHeight="1" x14ac:dyDescent="1.8">
      <c r="B316" s="140" t="str">
        <f>Employees!A268</f>
        <v>396</v>
      </c>
      <c r="C316" s="137" t="str">
        <f>Employees!D268</f>
        <v>بك اسامة</v>
      </c>
      <c r="D316" s="141" t="e">
        <f>Employees!#REF!</f>
        <v>#REF!</v>
      </c>
      <c r="E316" s="139"/>
      <c r="F316" s="142"/>
      <c r="G316" s="139"/>
    </row>
    <row r="317" spans="2:7" ht="165.6" customHeight="1" x14ac:dyDescent="1.8">
      <c r="B317" s="140" t="str">
        <f>Employees!A269</f>
        <v>474</v>
      </c>
      <c r="C317" s="137" t="str">
        <f>Employees!D269</f>
        <v>رحالي السبتي</v>
      </c>
      <c r="D317" s="141" t="e">
        <f>Employees!#REF!</f>
        <v>#REF!</v>
      </c>
      <c r="E317" s="139"/>
      <c r="F317" s="142"/>
      <c r="G317" s="139"/>
    </row>
    <row r="318" spans="2:7" ht="165.6" customHeight="1" x14ac:dyDescent="1.8">
      <c r="B318" s="193" t="s">
        <v>232</v>
      </c>
      <c r="C318" s="193"/>
    </row>
    <row r="319" spans="2:7" ht="165.6" customHeight="1" x14ac:dyDescent="1.8">
      <c r="B319" s="193"/>
      <c r="C319" s="193"/>
      <c r="D319" s="134" t="s">
        <v>707</v>
      </c>
      <c r="E319" s="135" t="s">
        <v>708</v>
      </c>
      <c r="F319" s="135" t="s">
        <v>709</v>
      </c>
      <c r="G319" s="136" t="s">
        <v>710</v>
      </c>
    </row>
    <row r="320" spans="2:7" ht="165.6" customHeight="1" x14ac:dyDescent="1.8">
      <c r="B320" s="137" t="s">
        <v>711</v>
      </c>
      <c r="C320" s="137" t="s">
        <v>712</v>
      </c>
      <c r="D320" s="138"/>
      <c r="E320" s="138"/>
      <c r="F320" s="138"/>
      <c r="G320" s="139"/>
    </row>
    <row r="321" spans="2:7" ht="165.6" customHeight="1" x14ac:dyDescent="1.8">
      <c r="B321" s="140" t="str">
        <f>Employees!A271</f>
        <v>51</v>
      </c>
      <c r="C321" s="137" t="str">
        <f>Employees!D271</f>
        <v>ممادي العيد</v>
      </c>
      <c r="D321" s="141" t="e">
        <f>Employees!#REF!</f>
        <v>#REF!</v>
      </c>
      <c r="E321" s="139"/>
      <c r="F321" s="142"/>
      <c r="G321" s="139"/>
    </row>
    <row r="322" spans="2:7" ht="165.6" customHeight="1" x14ac:dyDescent="1.8">
      <c r="B322" s="140" t="str">
        <f>Employees!A272</f>
        <v>52</v>
      </c>
      <c r="C322" s="137" t="str">
        <f>Employees!D272</f>
        <v>عيساوي حمزة</v>
      </c>
      <c r="D322" s="141" t="e">
        <f>Employees!#REF!</f>
        <v>#REF!</v>
      </c>
      <c r="E322" s="139"/>
      <c r="F322" s="142"/>
      <c r="G322" s="139"/>
    </row>
    <row r="323" spans="2:7" ht="165.6" customHeight="1" x14ac:dyDescent="1.8">
      <c r="B323" s="140" t="str">
        <f>Employees!A273</f>
        <v>67</v>
      </c>
      <c r="C323" s="137" t="str">
        <f>Employees!D273</f>
        <v xml:space="preserve">قدور عبد الباسط </v>
      </c>
      <c r="D323" s="141" t="e">
        <f>Employees!#REF!</f>
        <v>#REF!</v>
      </c>
      <c r="E323" s="139"/>
      <c r="F323" s="142"/>
      <c r="G323" s="139"/>
    </row>
    <row r="324" spans="2:7" ht="165.6" customHeight="1" x14ac:dyDescent="1.8">
      <c r="B324" s="140" t="str">
        <f>Employees!A274</f>
        <v>74</v>
      </c>
      <c r="C324" s="137" t="str">
        <f>Employees!D274</f>
        <v>حشيفة محمد</v>
      </c>
      <c r="D324" s="141" t="e">
        <f>Employees!#REF!</f>
        <v>#REF!</v>
      </c>
      <c r="E324" s="139"/>
      <c r="F324" s="142"/>
      <c r="G324" s="139"/>
    </row>
    <row r="325" spans="2:7" ht="165.6" customHeight="1" x14ac:dyDescent="1.8">
      <c r="B325" s="140" t="str">
        <f>Employees!A275</f>
        <v>86</v>
      </c>
      <c r="C325" s="137" t="str">
        <f>Employees!D275</f>
        <v>عتير سعيد</v>
      </c>
      <c r="D325" s="141" t="e">
        <f>Employees!#REF!</f>
        <v>#REF!</v>
      </c>
      <c r="E325" s="139"/>
      <c r="F325" s="142"/>
      <c r="G325" s="139"/>
    </row>
    <row r="326" spans="2:7" ht="165.6" customHeight="1" x14ac:dyDescent="1.8">
      <c r="B326" s="140" t="str">
        <f>Employees!A276</f>
        <v>117</v>
      </c>
      <c r="C326" s="137" t="str">
        <f>Employees!D276</f>
        <v>مناني حمزة</v>
      </c>
      <c r="D326" s="141" t="e">
        <f>Employees!#REF!</f>
        <v>#REF!</v>
      </c>
      <c r="E326" s="139"/>
      <c r="F326" s="142"/>
      <c r="G326" s="139"/>
    </row>
    <row r="327" spans="2:7" ht="165.6" customHeight="1" x14ac:dyDescent="1.8">
      <c r="B327" s="140" t="str">
        <f>Employees!A277</f>
        <v>119</v>
      </c>
      <c r="C327" s="137" t="str">
        <f>Employees!D277</f>
        <v>العاتي بن سالم</v>
      </c>
      <c r="D327" s="141" t="e">
        <f>Employees!#REF!</f>
        <v>#REF!</v>
      </c>
      <c r="E327" s="139"/>
      <c r="F327" s="142"/>
      <c r="G327" s="139"/>
    </row>
    <row r="328" spans="2:7" ht="165.6" customHeight="1" x14ac:dyDescent="1.8">
      <c r="B328" s="140" t="str">
        <f>Employees!A278</f>
        <v>139</v>
      </c>
      <c r="C328" s="137" t="str">
        <f>Employees!D278</f>
        <v>حبيب عبد الرزاق</v>
      </c>
      <c r="D328" s="141" t="e">
        <f>Employees!#REF!</f>
        <v>#REF!</v>
      </c>
      <c r="E328" s="139"/>
      <c r="F328" s="142"/>
      <c r="G328" s="139"/>
    </row>
    <row r="329" spans="2:7" ht="165.6" customHeight="1" x14ac:dyDescent="1.8">
      <c r="B329" s="140" t="str">
        <f>Employees!A279</f>
        <v>163</v>
      </c>
      <c r="C329" s="137" t="str">
        <f>Employees!D279</f>
        <v>حمدي إلياس</v>
      </c>
      <c r="D329" s="141" t="e">
        <f>Employees!#REF!</f>
        <v>#REF!</v>
      </c>
      <c r="E329" s="139"/>
      <c r="F329" s="142"/>
      <c r="G329" s="139"/>
    </row>
    <row r="330" spans="2:7" ht="165.6" customHeight="1" x14ac:dyDescent="1.8">
      <c r="B330" s="140" t="str">
        <f>Employees!A280</f>
        <v>168</v>
      </c>
      <c r="C330" s="137" t="str">
        <f>Employees!D280</f>
        <v>مكاوي نور الدين</v>
      </c>
      <c r="D330" s="141" t="e">
        <f>Employees!#REF!</f>
        <v>#REF!</v>
      </c>
      <c r="E330" s="139"/>
      <c r="F330" s="142"/>
      <c r="G330" s="139"/>
    </row>
    <row r="331" spans="2:7" ht="165.6" customHeight="1" x14ac:dyDescent="1.8">
      <c r="B331" s="140" t="str">
        <f>Employees!A281</f>
        <v>170</v>
      </c>
      <c r="C331" s="137" t="str">
        <f>Employees!D281</f>
        <v>مكاوي احمد شوقي</v>
      </c>
      <c r="D331" s="141" t="e">
        <f>Employees!#REF!</f>
        <v>#REF!</v>
      </c>
      <c r="E331" s="139"/>
      <c r="F331" s="142"/>
      <c r="G331" s="139"/>
    </row>
    <row r="332" spans="2:7" ht="165.6" customHeight="1" x14ac:dyDescent="1.8">
      <c r="B332" s="140" t="str">
        <f>Employees!A282</f>
        <v>220</v>
      </c>
      <c r="C332" s="137" t="str">
        <f>Employees!D282</f>
        <v>عبيد بوبكر</v>
      </c>
      <c r="D332" s="141" t="e">
        <f>Employees!#REF!</f>
        <v>#REF!</v>
      </c>
      <c r="E332" s="139"/>
      <c r="F332" s="142"/>
      <c r="G332" s="139"/>
    </row>
    <row r="333" spans="2:7" ht="165.6" customHeight="1" x14ac:dyDescent="1.8">
      <c r="B333" s="140" t="str">
        <f>Employees!A283</f>
        <v>253</v>
      </c>
      <c r="C333" s="137" t="str">
        <f>Employees!D283</f>
        <v>فاضل صدام</v>
      </c>
      <c r="D333" s="141" t="e">
        <f>Employees!#REF!</f>
        <v>#REF!</v>
      </c>
      <c r="E333" s="139"/>
      <c r="F333" s="142"/>
      <c r="G333" s="139"/>
    </row>
    <row r="334" spans="2:7" ht="165.6" customHeight="1" x14ac:dyDescent="1.8">
      <c r="B334" s="140" t="str">
        <f>Employees!A284</f>
        <v>273</v>
      </c>
      <c r="C334" s="137" t="str">
        <f>Employees!D284</f>
        <v xml:space="preserve">فاضل بلقاسم </v>
      </c>
      <c r="D334" s="141" t="e">
        <f>Employees!#REF!</f>
        <v>#REF!</v>
      </c>
      <c r="E334" s="139"/>
      <c r="F334" s="142"/>
      <c r="G334" s="139"/>
    </row>
    <row r="335" spans="2:7" ht="165.6" customHeight="1" x14ac:dyDescent="1.8">
      <c r="B335" s="140" t="str">
        <f>Employees!A285</f>
        <v>281</v>
      </c>
      <c r="C335" s="137" t="str">
        <f>Employees!D285</f>
        <v>منيعي عبد الباسط</v>
      </c>
      <c r="D335" s="141" t="e">
        <f>Employees!#REF!</f>
        <v>#REF!</v>
      </c>
      <c r="E335" s="139"/>
      <c r="F335" s="142"/>
      <c r="G335" s="139"/>
    </row>
    <row r="336" spans="2:7" ht="165.6" customHeight="1" x14ac:dyDescent="1.8">
      <c r="B336" s="140" t="str">
        <f>Employees!A286</f>
        <v>326</v>
      </c>
      <c r="C336" s="137" t="str">
        <f>Employees!D286</f>
        <v>مشري عماد الدين</v>
      </c>
      <c r="D336" s="141" t="e">
        <f>Employees!#REF!</f>
        <v>#REF!</v>
      </c>
      <c r="E336" s="139"/>
      <c r="F336" s="142"/>
      <c r="G336" s="139"/>
    </row>
    <row r="337" spans="2:7" ht="165.6" customHeight="1" x14ac:dyDescent="1.8">
      <c r="B337" s="140" t="str">
        <f>Employees!A287</f>
        <v>331</v>
      </c>
      <c r="C337" s="137" t="str">
        <f>Employees!D287</f>
        <v>نيس ميلود</v>
      </c>
      <c r="D337" s="141" t="e">
        <f>Employees!#REF!</f>
        <v>#REF!</v>
      </c>
      <c r="E337" s="139"/>
      <c r="F337" s="142"/>
      <c r="G337" s="139"/>
    </row>
    <row r="338" spans="2:7" ht="165.6" customHeight="1" x14ac:dyDescent="1.8">
      <c r="B338" s="140" t="str">
        <f>Employees!A288</f>
        <v>412</v>
      </c>
      <c r="C338" s="137" t="str">
        <f>Employees!D288</f>
        <v>عية مراد</v>
      </c>
      <c r="D338" s="141" t="e">
        <f>Employees!#REF!</f>
        <v>#REF!</v>
      </c>
      <c r="E338" s="139"/>
      <c r="F338" s="142"/>
      <c r="G338" s="139"/>
    </row>
    <row r="339" spans="2:7" ht="165.6" customHeight="1" x14ac:dyDescent="1.8">
      <c r="B339" s="140" t="str">
        <f>Employees!A289</f>
        <v>421</v>
      </c>
      <c r="C339" s="137" t="str">
        <f>Employees!D289</f>
        <v>زريق محمد</v>
      </c>
      <c r="D339" s="141" t="e">
        <f>Employees!#REF!</f>
        <v>#REF!</v>
      </c>
      <c r="E339" s="139"/>
      <c r="F339" s="142"/>
      <c r="G339" s="139"/>
    </row>
    <row r="340" spans="2:7" ht="165.6" customHeight="1" x14ac:dyDescent="1.8">
      <c r="B340" s="140" t="str">
        <f>Employees!A290</f>
        <v>434</v>
      </c>
      <c r="C340" s="137" t="str">
        <f>Employees!D290</f>
        <v>رزوق محمد</v>
      </c>
      <c r="D340" s="141" t="e">
        <f>Employees!#REF!</f>
        <v>#REF!</v>
      </c>
      <c r="E340" s="139"/>
      <c r="F340" s="142"/>
      <c r="G340" s="139"/>
    </row>
    <row r="341" spans="2:7" ht="165.6" customHeight="1" x14ac:dyDescent="1.8">
      <c r="B341" s="140" t="str">
        <f>Employees!A291</f>
        <v>475</v>
      </c>
      <c r="C341" s="137" t="str">
        <f>Employees!D291</f>
        <v>مكاوي ايمن</v>
      </c>
      <c r="D341" s="141" t="e">
        <f>Employees!#REF!</f>
        <v>#REF!</v>
      </c>
      <c r="E341" s="139"/>
      <c r="F341" s="142"/>
      <c r="G341" s="139"/>
    </row>
    <row r="342" spans="2:7" ht="165.6" customHeight="1" x14ac:dyDescent="1.8">
      <c r="B342" s="193" t="s">
        <v>255</v>
      </c>
      <c r="C342" s="193"/>
    </row>
    <row r="343" spans="2:7" ht="165.6" customHeight="1" x14ac:dyDescent="1.8">
      <c r="B343" s="193"/>
      <c r="C343" s="193"/>
      <c r="D343" s="134" t="s">
        <v>707</v>
      </c>
      <c r="E343" s="135" t="s">
        <v>708</v>
      </c>
      <c r="F343" s="135" t="s">
        <v>709</v>
      </c>
      <c r="G343" s="136" t="s">
        <v>710</v>
      </c>
    </row>
    <row r="344" spans="2:7" ht="165.6" customHeight="1" x14ac:dyDescent="1.8">
      <c r="B344" s="137" t="s">
        <v>711</v>
      </c>
      <c r="C344" s="137" t="s">
        <v>712</v>
      </c>
      <c r="D344" s="138"/>
      <c r="E344" s="138"/>
      <c r="F344" s="138"/>
      <c r="G344" s="139"/>
    </row>
    <row r="345" spans="2:7" ht="165.6" customHeight="1" x14ac:dyDescent="1.8">
      <c r="B345" s="140" t="str">
        <f>Employees!A293</f>
        <v>24</v>
      </c>
      <c r="C345" s="137" t="str">
        <f>Employees!D293</f>
        <v>هقي العروسي</v>
      </c>
      <c r="D345" s="141" t="e">
        <f>Employees!#REF!</f>
        <v>#REF!</v>
      </c>
      <c r="E345" s="139"/>
      <c r="F345" s="142"/>
      <c r="G345" s="139"/>
    </row>
    <row r="346" spans="2:7" ht="165.6" customHeight="1" x14ac:dyDescent="1.8">
      <c r="B346" s="140" t="str">
        <f>Employees!A294</f>
        <v>99</v>
      </c>
      <c r="C346" s="137" t="str">
        <f>Employees!D294</f>
        <v>سويسي أحمد</v>
      </c>
      <c r="D346" s="141" t="e">
        <f>Employees!#REF!</f>
        <v>#REF!</v>
      </c>
      <c r="E346" s="139"/>
      <c r="F346" s="142"/>
      <c r="G346" s="139"/>
    </row>
    <row r="347" spans="2:7" ht="165.6" customHeight="1" x14ac:dyDescent="1.8">
      <c r="B347" s="140" t="str">
        <f>Employees!A295</f>
        <v>207</v>
      </c>
      <c r="C347" s="137" t="str">
        <f>Employees!D295</f>
        <v>غانم نبيل</v>
      </c>
      <c r="D347" s="141" t="e">
        <f>Employees!#REF!</f>
        <v>#REF!</v>
      </c>
      <c r="E347" s="139"/>
      <c r="F347" s="142"/>
      <c r="G347" s="139"/>
    </row>
    <row r="348" spans="2:7" ht="165.6" customHeight="1" x14ac:dyDescent="1.8">
      <c r="B348" s="140" t="str">
        <f>Employees!A296</f>
        <v>436</v>
      </c>
      <c r="C348" s="137" t="str">
        <f>Employees!D296</f>
        <v>العايش احمد الثاني</v>
      </c>
      <c r="D348" s="141" t="e">
        <f>Employees!#REF!</f>
        <v>#REF!</v>
      </c>
      <c r="E348" s="139"/>
      <c r="F348" s="142"/>
      <c r="G348" s="139"/>
    </row>
    <row r="349" spans="2:7" ht="165.6" customHeight="1" x14ac:dyDescent="1.8">
      <c r="B349" s="193" t="s">
        <v>257</v>
      </c>
      <c r="C349" s="193"/>
    </row>
    <row r="350" spans="2:7" ht="165.6" customHeight="1" x14ac:dyDescent="1.8">
      <c r="B350" s="193"/>
      <c r="C350" s="193"/>
      <c r="D350" s="134" t="s">
        <v>707</v>
      </c>
      <c r="E350" s="135" t="s">
        <v>708</v>
      </c>
      <c r="F350" s="135" t="s">
        <v>709</v>
      </c>
      <c r="G350" s="136" t="s">
        <v>710</v>
      </c>
    </row>
    <row r="351" spans="2:7" ht="165.6" customHeight="1" x14ac:dyDescent="1.8">
      <c r="B351" s="137" t="s">
        <v>711</v>
      </c>
      <c r="C351" s="137" t="s">
        <v>712</v>
      </c>
      <c r="D351" s="138"/>
      <c r="E351" s="138"/>
      <c r="F351" s="138"/>
      <c r="G351" s="139"/>
    </row>
    <row r="352" spans="2:7" ht="165.6" customHeight="1" x14ac:dyDescent="1.8">
      <c r="B352" s="140" t="str">
        <f>Employees!A298</f>
        <v>194</v>
      </c>
      <c r="C352" s="137" t="str">
        <f>Employees!D298</f>
        <v>منصر أنور</v>
      </c>
      <c r="D352" s="141" t="e">
        <f>Employees!#REF!</f>
        <v>#REF!</v>
      </c>
      <c r="E352" s="139"/>
      <c r="F352" s="142"/>
      <c r="G352" s="139"/>
    </row>
    <row r="353" spans="2:7" ht="165.6" customHeight="1" x14ac:dyDescent="1.8">
      <c r="B353" s="140" t="str">
        <f>Employees!A299</f>
        <v>315</v>
      </c>
      <c r="C353" s="137" t="str">
        <f>Employees!D299</f>
        <v>قديري حمزة</v>
      </c>
      <c r="D353" s="141" t="e">
        <f>Employees!#REF!</f>
        <v>#REF!</v>
      </c>
      <c r="E353" s="139"/>
      <c r="F353" s="142"/>
      <c r="G353" s="139"/>
    </row>
    <row r="354" spans="2:7" ht="165.6" customHeight="1" x14ac:dyDescent="1.8">
      <c r="B354" s="193" t="s">
        <v>261</v>
      </c>
      <c r="C354" s="193"/>
    </row>
    <row r="355" spans="2:7" ht="165.6" customHeight="1" x14ac:dyDescent="1.8">
      <c r="B355" s="193"/>
      <c r="C355" s="193"/>
      <c r="D355" s="134" t="s">
        <v>707</v>
      </c>
      <c r="E355" s="135" t="s">
        <v>708</v>
      </c>
      <c r="F355" s="135" t="s">
        <v>709</v>
      </c>
      <c r="G355" s="136" t="s">
        <v>710</v>
      </c>
    </row>
    <row r="356" spans="2:7" ht="165.6" customHeight="1" x14ac:dyDescent="1.8">
      <c r="B356" s="137" t="s">
        <v>711</v>
      </c>
      <c r="C356" s="137" t="s">
        <v>712</v>
      </c>
      <c r="D356" s="138"/>
      <c r="E356" s="138"/>
      <c r="F356" s="138"/>
      <c r="G356" s="139"/>
    </row>
    <row r="357" spans="2:7" ht="165.6" customHeight="1" x14ac:dyDescent="1.8">
      <c r="B357" s="140" t="str">
        <f>Employees!A301</f>
        <v>20</v>
      </c>
      <c r="C357" s="137" t="str">
        <f>Employees!D301</f>
        <v>بن سعدية سعد</v>
      </c>
      <c r="D357" s="141" t="e">
        <f>Employees!#REF!</f>
        <v>#REF!</v>
      </c>
      <c r="E357" s="139"/>
      <c r="F357" s="142"/>
      <c r="G357" s="139"/>
    </row>
    <row r="358" spans="2:7" ht="165.6" customHeight="1" x14ac:dyDescent="1.8">
      <c r="B358" s="140" t="str">
        <f>Employees!A302</f>
        <v>31</v>
      </c>
      <c r="C358" s="137" t="str">
        <f>Employees!D302</f>
        <v>لموشي يوسف</v>
      </c>
      <c r="D358" s="141" t="e">
        <f>Employees!#REF!</f>
        <v>#REF!</v>
      </c>
      <c r="E358" s="139"/>
      <c r="F358" s="142"/>
      <c r="G358" s="139"/>
    </row>
    <row r="359" spans="2:7" ht="165.6" customHeight="1" x14ac:dyDescent="1.8">
      <c r="B359" s="140" t="str">
        <f>Employees!A303</f>
        <v>65</v>
      </c>
      <c r="C359" s="137" t="str">
        <f>Employees!D303</f>
        <v>سعداني احمد</v>
      </c>
      <c r="D359" s="141" t="e">
        <f>Employees!#REF!</f>
        <v>#REF!</v>
      </c>
      <c r="E359" s="139"/>
      <c r="F359" s="142"/>
      <c r="G359" s="139"/>
    </row>
    <row r="360" spans="2:7" ht="165.6" customHeight="1" x14ac:dyDescent="1.8">
      <c r="B360" s="140" t="str">
        <f>Employees!A304</f>
        <v>87</v>
      </c>
      <c r="C360" s="137" t="str">
        <f>Employees!D304</f>
        <v>بالي عبد الرزاق</v>
      </c>
      <c r="D360" s="141" t="e">
        <f>Employees!#REF!</f>
        <v>#REF!</v>
      </c>
      <c r="E360" s="139"/>
      <c r="F360" s="142"/>
      <c r="G360" s="139"/>
    </row>
    <row r="361" spans="2:7" ht="165.6" customHeight="1" x14ac:dyDescent="1.8">
      <c r="B361" s="140" t="str">
        <f>Employees!A305</f>
        <v>97</v>
      </c>
      <c r="C361" s="137" t="str">
        <f>Employees!D305</f>
        <v>جراية رزقي</v>
      </c>
      <c r="D361" s="141" t="e">
        <f>Employees!#REF!</f>
        <v>#REF!</v>
      </c>
      <c r="E361" s="139"/>
      <c r="F361" s="142"/>
      <c r="G361" s="139"/>
    </row>
    <row r="362" spans="2:7" ht="165.6" customHeight="1" x14ac:dyDescent="1.8">
      <c r="B362" s="140" t="str">
        <f>Employees!A306</f>
        <v>100</v>
      </c>
      <c r="C362" s="137" t="str">
        <f>Employees!D306</f>
        <v>زبيدي علي</v>
      </c>
      <c r="D362" s="141" t="e">
        <f>Employees!#REF!</f>
        <v>#REF!</v>
      </c>
      <c r="E362" s="139"/>
      <c r="F362" s="142"/>
      <c r="G362" s="139"/>
    </row>
    <row r="363" spans="2:7" ht="165.6" customHeight="1" x14ac:dyDescent="1.8">
      <c r="B363" s="140" t="str">
        <f>Employees!A307</f>
        <v>103</v>
      </c>
      <c r="C363" s="137" t="str">
        <f>Employees!D307</f>
        <v>نصري زيد</v>
      </c>
      <c r="D363" s="141" t="e">
        <f>Employees!#REF!</f>
        <v>#REF!</v>
      </c>
      <c r="E363" s="139"/>
      <c r="F363" s="142"/>
      <c r="G363" s="139"/>
    </row>
    <row r="364" spans="2:7" ht="165.6" customHeight="1" x14ac:dyDescent="1.8">
      <c r="B364" s="140" t="str">
        <f>Employees!A308</f>
        <v>152</v>
      </c>
      <c r="C364" s="137" t="str">
        <f>Employees!D308</f>
        <v>بن أحمد عمر</v>
      </c>
      <c r="D364" s="141" t="e">
        <f>Employees!#REF!</f>
        <v>#REF!</v>
      </c>
      <c r="E364" s="139"/>
      <c r="F364" s="142"/>
      <c r="G364" s="139"/>
    </row>
    <row r="365" spans="2:7" ht="165.6" customHeight="1" x14ac:dyDescent="1.8">
      <c r="B365" s="140" t="str">
        <f>Employees!A309</f>
        <v>200</v>
      </c>
      <c r="C365" s="137" t="str">
        <f>Employees!D309</f>
        <v>قدور فظيل</v>
      </c>
      <c r="D365" s="141" t="e">
        <f>Employees!#REF!</f>
        <v>#REF!</v>
      </c>
      <c r="E365" s="139"/>
      <c r="F365" s="142"/>
      <c r="G365" s="139"/>
    </row>
    <row r="366" spans="2:7" ht="165.6" customHeight="1" x14ac:dyDescent="1.8">
      <c r="B366" s="140" t="str">
        <f>Employees!A310</f>
        <v>290</v>
      </c>
      <c r="C366" s="137" t="str">
        <f>Employees!D310</f>
        <v>برتيمة عبد الكريم</v>
      </c>
      <c r="D366" s="141" t="e">
        <f>Employees!#REF!</f>
        <v>#REF!</v>
      </c>
      <c r="E366" s="139"/>
      <c r="F366" s="142"/>
      <c r="G366" s="139"/>
    </row>
    <row r="367" spans="2:7" ht="165.6" customHeight="1" x14ac:dyDescent="1.8">
      <c r="B367" s="140" t="str">
        <f>Employees!A311</f>
        <v>233</v>
      </c>
      <c r="C367" s="137" t="str">
        <f>Employees!D311</f>
        <v>بوقطاية محمد</v>
      </c>
      <c r="D367" s="141" t="e">
        <f>Employees!#REF!</f>
        <v>#REF!</v>
      </c>
      <c r="E367" s="139"/>
      <c r="F367" s="142"/>
      <c r="G367" s="139"/>
    </row>
    <row r="368" spans="2:7" ht="165.6" customHeight="1" x14ac:dyDescent="1.8">
      <c r="B368" s="140" t="str">
        <f>Employees!A312</f>
        <v>473</v>
      </c>
      <c r="C368" s="137" t="str">
        <f>Employees!D312</f>
        <v>غننه عبد الحاكم</v>
      </c>
      <c r="D368" s="141" t="e">
        <f>Employees!#REF!</f>
        <v>#REF!</v>
      </c>
      <c r="E368" s="139"/>
      <c r="F368" s="142"/>
      <c r="G368" s="139"/>
    </row>
    <row r="369" spans="2:7" ht="165.6" customHeight="1" x14ac:dyDescent="1.8">
      <c r="B369" s="193" t="s">
        <v>272</v>
      </c>
      <c r="C369" s="193"/>
    </row>
    <row r="370" spans="2:7" ht="165.6" customHeight="1" x14ac:dyDescent="1.8">
      <c r="B370" s="193"/>
      <c r="C370" s="193"/>
      <c r="D370" s="134" t="s">
        <v>707</v>
      </c>
      <c r="E370" s="135" t="s">
        <v>708</v>
      </c>
      <c r="F370" s="135" t="s">
        <v>709</v>
      </c>
      <c r="G370" s="136" t="s">
        <v>710</v>
      </c>
    </row>
    <row r="371" spans="2:7" ht="165.6" customHeight="1" x14ac:dyDescent="1.8">
      <c r="B371" s="137" t="s">
        <v>711</v>
      </c>
      <c r="C371" s="137" t="s">
        <v>712</v>
      </c>
      <c r="D371" s="138"/>
      <c r="E371" s="138"/>
      <c r="F371" s="138"/>
      <c r="G371" s="139"/>
    </row>
    <row r="372" spans="2:7" ht="165.6" customHeight="1" x14ac:dyDescent="1.8">
      <c r="B372" s="140" t="str">
        <f>Employees!A315</f>
        <v>91</v>
      </c>
      <c r="C372" s="137" t="str">
        <f>Employees!D315</f>
        <v>وقادي السعيد</v>
      </c>
      <c r="D372" s="141" t="e">
        <f>Employees!#REF!</f>
        <v>#REF!</v>
      </c>
      <c r="E372" s="139"/>
      <c r="F372" s="142"/>
      <c r="G372" s="139"/>
    </row>
    <row r="373" spans="2:7" ht="165.6" customHeight="1" x14ac:dyDescent="1.8">
      <c r="B373" s="140" t="str">
        <f>Employees!A316</f>
        <v>129</v>
      </c>
      <c r="C373" s="137" t="str">
        <f>Employees!D316</f>
        <v>كشحة عبد الفتاح</v>
      </c>
      <c r="D373" s="141" t="e">
        <f>Employees!#REF!</f>
        <v>#REF!</v>
      </c>
      <c r="E373" s="139"/>
      <c r="F373" s="142"/>
      <c r="G373" s="139"/>
    </row>
    <row r="374" spans="2:7" ht="165.6" customHeight="1" x14ac:dyDescent="1.8">
      <c r="B374" s="193" t="s">
        <v>275</v>
      </c>
      <c r="C374" s="193"/>
    </row>
    <row r="375" spans="2:7" ht="165.6" customHeight="1" x14ac:dyDescent="1.8">
      <c r="B375" s="193"/>
      <c r="C375" s="193"/>
      <c r="D375" s="134" t="s">
        <v>707</v>
      </c>
      <c r="E375" s="135" t="s">
        <v>708</v>
      </c>
      <c r="F375" s="135" t="s">
        <v>709</v>
      </c>
      <c r="G375" s="136" t="s">
        <v>710</v>
      </c>
    </row>
    <row r="376" spans="2:7" ht="165.6" customHeight="1" x14ac:dyDescent="1.8">
      <c r="B376" s="137" t="s">
        <v>711</v>
      </c>
      <c r="C376" s="137" t="s">
        <v>712</v>
      </c>
      <c r="D376" s="138"/>
      <c r="E376" s="138"/>
      <c r="F376" s="138"/>
      <c r="G376" s="139"/>
    </row>
    <row r="377" spans="2:7" ht="165.6" customHeight="1" x14ac:dyDescent="1.8">
      <c r="B377" s="140" t="str">
        <f>Employees!A318</f>
        <v>28</v>
      </c>
      <c r="C377" s="137" t="str">
        <f>Employees!D318</f>
        <v>سالم الياس</v>
      </c>
      <c r="D377" s="141" t="e">
        <f>Employees!#REF!</f>
        <v>#REF!</v>
      </c>
      <c r="E377" s="139"/>
      <c r="F377" s="142"/>
      <c r="G377" s="139"/>
    </row>
    <row r="378" spans="2:7" ht="165.6" customHeight="1" x14ac:dyDescent="1.8">
      <c r="B378" s="140" t="str">
        <f>Employees!A319</f>
        <v>57</v>
      </c>
      <c r="C378" s="137" t="str">
        <f>Employees!D319</f>
        <v>شلبي يوسف</v>
      </c>
      <c r="D378" s="141" t="e">
        <f>Employees!#REF!</f>
        <v>#REF!</v>
      </c>
      <c r="E378" s="139"/>
      <c r="F378" s="142"/>
      <c r="G378" s="139"/>
    </row>
    <row r="379" spans="2:7" ht="165.6" customHeight="1" x14ac:dyDescent="1.8">
      <c r="B379" s="140" t="str">
        <f>Employees!A320</f>
        <v>88</v>
      </c>
      <c r="C379" s="137" t="str">
        <f>Employees!D320</f>
        <v>العابد عبد الوهاب</v>
      </c>
      <c r="D379" s="141" t="e">
        <f>Employees!#REF!</f>
        <v>#REF!</v>
      </c>
      <c r="E379" s="139"/>
      <c r="F379" s="142"/>
      <c r="G379" s="139"/>
    </row>
    <row r="380" spans="2:7" ht="165.6" customHeight="1" x14ac:dyDescent="1.8">
      <c r="B380" s="140" t="str">
        <f>Employees!A321</f>
        <v>154</v>
      </c>
      <c r="C380" s="137" t="str">
        <f>Employees!D321</f>
        <v>فرحات ربيع</v>
      </c>
      <c r="D380" s="141" t="e">
        <f>Employees!#REF!</f>
        <v>#REF!</v>
      </c>
      <c r="E380" s="139"/>
      <c r="F380" s="142"/>
      <c r="G380" s="139"/>
    </row>
    <row r="381" spans="2:7" ht="165.6" customHeight="1" x14ac:dyDescent="1.8">
      <c r="B381" s="140" t="str">
        <f>Employees!A322</f>
        <v>186</v>
      </c>
      <c r="C381" s="137" t="str">
        <f>Employees!D322</f>
        <v>نسيب عرفات</v>
      </c>
      <c r="D381" s="141" t="e">
        <f>Employees!#REF!</f>
        <v>#REF!</v>
      </c>
      <c r="E381" s="139"/>
      <c r="F381" s="142"/>
      <c r="G381" s="139"/>
    </row>
    <row r="382" spans="2:7" ht="165.6" customHeight="1" x14ac:dyDescent="1.8">
      <c r="B382" s="140" t="str">
        <f>Employees!A323</f>
        <v>202</v>
      </c>
      <c r="C382" s="137" t="str">
        <f>Employees!D323</f>
        <v>ديدة وليد</v>
      </c>
      <c r="D382" s="141" t="e">
        <f>Employees!#REF!</f>
        <v>#REF!</v>
      </c>
      <c r="E382" s="139"/>
      <c r="F382" s="142"/>
      <c r="G382" s="139"/>
    </row>
    <row r="383" spans="2:7" ht="165.6" customHeight="1" x14ac:dyDescent="1.8">
      <c r="B383" s="140" t="str">
        <f>Employees!A324</f>
        <v>278</v>
      </c>
      <c r="C383" s="137" t="str">
        <f>Employees!D324</f>
        <v>دية بوبكر</v>
      </c>
      <c r="D383" s="141" t="e">
        <f>Employees!#REF!</f>
        <v>#REF!</v>
      </c>
      <c r="E383" s="139"/>
      <c r="F383" s="142"/>
      <c r="G383" s="139"/>
    </row>
    <row r="384" spans="2:7" ht="165.6" customHeight="1" x14ac:dyDescent="1.8">
      <c r="B384" s="140" t="str">
        <f>Employees!A325</f>
        <v>292</v>
      </c>
      <c r="C384" s="137" t="str">
        <f>Employees!D325</f>
        <v>محبوب مصباح وليد</v>
      </c>
      <c r="D384" s="141" t="e">
        <f>Employees!#REF!</f>
        <v>#REF!</v>
      </c>
      <c r="E384" s="139"/>
      <c r="F384" s="142"/>
      <c r="G384" s="139"/>
    </row>
    <row r="385" spans="2:7" ht="165.6" customHeight="1" x14ac:dyDescent="1.8">
      <c r="B385" s="140" t="str">
        <f>Employees!A326</f>
        <v>298</v>
      </c>
      <c r="C385" s="137" t="str">
        <f>Employees!D326</f>
        <v>عطالله رياض</v>
      </c>
      <c r="D385" s="141" t="e">
        <f>Employees!#REF!</f>
        <v>#REF!</v>
      </c>
      <c r="E385" s="139"/>
      <c r="F385" s="142"/>
      <c r="G385" s="139"/>
    </row>
    <row r="386" spans="2:7" ht="165.6" customHeight="1" x14ac:dyDescent="1.8">
      <c r="B386" s="140" t="str">
        <f>Employees!A327</f>
        <v>330</v>
      </c>
      <c r="C386" s="137" t="str">
        <f>Employees!D327</f>
        <v>بوضياف صبري</v>
      </c>
      <c r="D386" s="141" t="e">
        <f>Employees!#REF!</f>
        <v>#REF!</v>
      </c>
      <c r="E386" s="139"/>
      <c r="F386" s="142"/>
      <c r="G386" s="139"/>
    </row>
    <row r="387" spans="2:7" ht="165.6" customHeight="1" x14ac:dyDescent="1.8">
      <c r="B387" s="140" t="str">
        <f>Employees!A328</f>
        <v>334</v>
      </c>
      <c r="C387" s="137" t="str">
        <f>Employees!D328</f>
        <v>مزيو محمد</v>
      </c>
      <c r="D387" s="141" t="e">
        <f>Employees!#REF!</f>
        <v>#REF!</v>
      </c>
      <c r="E387" s="139"/>
      <c r="F387" s="142"/>
      <c r="G387" s="139"/>
    </row>
    <row r="388" spans="2:7" ht="165.6" customHeight="1" x14ac:dyDescent="1.8">
      <c r="B388" s="140" t="str">
        <f>Employees!A329</f>
        <v>340</v>
      </c>
      <c r="C388" s="137" t="str">
        <f>Employees!D329</f>
        <v>دوش عبد القادر</v>
      </c>
      <c r="D388" s="141" t="e">
        <f>Employees!#REF!</f>
        <v>#REF!</v>
      </c>
      <c r="E388" s="139"/>
      <c r="F388" s="142"/>
      <c r="G388" s="139"/>
    </row>
    <row r="389" spans="2:7" ht="165.6" customHeight="1" x14ac:dyDescent="1.8">
      <c r="B389" s="140" t="str">
        <f>Employees!A330</f>
        <v>344</v>
      </c>
      <c r="C389" s="137" t="str">
        <f>Employees!D330</f>
        <v>رحال عبد الباقي</v>
      </c>
      <c r="D389" s="141" t="e">
        <f>Employees!#REF!</f>
        <v>#REF!</v>
      </c>
      <c r="E389" s="139"/>
      <c r="F389" s="142"/>
      <c r="G389" s="139"/>
    </row>
    <row r="390" spans="2:7" ht="165.6" customHeight="1" x14ac:dyDescent="1.8">
      <c r="B390" s="140" t="str">
        <f>Employees!A331</f>
        <v>351</v>
      </c>
      <c r="C390" s="137" t="str">
        <f>Employees!D331</f>
        <v>درويش عبد الله</v>
      </c>
      <c r="D390" s="141" t="e">
        <f>Employees!#REF!</f>
        <v>#REF!</v>
      </c>
      <c r="E390" s="139"/>
      <c r="F390" s="142"/>
      <c r="G390" s="139"/>
    </row>
    <row r="391" spans="2:7" ht="165.6" customHeight="1" x14ac:dyDescent="1.8">
      <c r="B391" s="140" t="str">
        <f>Employees!A332</f>
        <v>379</v>
      </c>
      <c r="C391" s="137" t="str">
        <f>Employees!D332</f>
        <v>شيحاني عبد الوهاب</v>
      </c>
      <c r="D391" s="141" t="e">
        <f>Employees!#REF!</f>
        <v>#REF!</v>
      </c>
      <c r="E391" s="139"/>
      <c r="F391" s="142"/>
      <c r="G391" s="139"/>
    </row>
    <row r="392" spans="2:7" ht="165.6" customHeight="1" x14ac:dyDescent="1.8">
      <c r="B392" s="140" t="str">
        <f>Employees!A333</f>
        <v>472</v>
      </c>
      <c r="C392" s="137" t="str">
        <f>Employees!D333</f>
        <v>رحال عثمان</v>
      </c>
      <c r="D392" s="141" t="e">
        <f>Employees!#REF!</f>
        <v>#REF!</v>
      </c>
      <c r="E392" s="139"/>
      <c r="F392" s="142"/>
      <c r="G392" s="139"/>
    </row>
    <row r="393" spans="2:7" ht="165.6" customHeight="1" x14ac:dyDescent="1.8">
      <c r="B393" s="193" t="s">
        <v>724</v>
      </c>
      <c r="C393" s="193"/>
    </row>
    <row r="394" spans="2:7" ht="165.6" customHeight="1" x14ac:dyDescent="1.8">
      <c r="B394" s="193"/>
      <c r="C394" s="193"/>
      <c r="D394" s="134" t="s">
        <v>707</v>
      </c>
      <c r="E394" s="135" t="s">
        <v>708</v>
      </c>
      <c r="F394" s="135" t="s">
        <v>709</v>
      </c>
      <c r="G394" s="136" t="s">
        <v>710</v>
      </c>
    </row>
    <row r="395" spans="2:7" ht="165.6" customHeight="1" x14ac:dyDescent="1.8">
      <c r="B395" s="137" t="s">
        <v>711</v>
      </c>
      <c r="C395" s="137" t="s">
        <v>712</v>
      </c>
      <c r="D395" s="138"/>
      <c r="E395" s="138"/>
      <c r="F395" s="138"/>
      <c r="G395" s="139"/>
    </row>
    <row r="396" spans="2:7" ht="165.6" customHeight="1" x14ac:dyDescent="1.8">
      <c r="B396" s="140" t="str">
        <f>Employees!A337</f>
        <v>142</v>
      </c>
      <c r="C396" s="137" t="str">
        <f>Employees!D337</f>
        <v xml:space="preserve"> بن عيشة محمد</v>
      </c>
      <c r="D396" s="141" t="e">
        <f>Employees!#REF!</f>
        <v>#REF!</v>
      </c>
      <c r="E396" s="139"/>
      <c r="F396" s="142"/>
      <c r="G396" s="139"/>
    </row>
    <row r="397" spans="2:7" ht="165.6" customHeight="1" x14ac:dyDescent="1.8">
      <c r="B397" s="140" t="str">
        <f>Employees!A338</f>
        <v>203</v>
      </c>
      <c r="C397" s="137" t="str">
        <f>Employees!D338</f>
        <v>طواهر محمود</v>
      </c>
      <c r="D397" s="141" t="e">
        <f>Employees!#REF!</f>
        <v>#REF!</v>
      </c>
      <c r="E397" s="139"/>
      <c r="F397" s="142"/>
      <c r="G397" s="139"/>
    </row>
    <row r="398" spans="2:7" ht="165.6" customHeight="1" x14ac:dyDescent="1.8">
      <c r="B398" s="140" t="str">
        <f>Employees!A339</f>
        <v>287</v>
      </c>
      <c r="C398" s="137" t="str">
        <f>Employees!D339</f>
        <v>دشري عبد الجبار</v>
      </c>
      <c r="D398" s="141" t="e">
        <f>Employees!#REF!</f>
        <v>#REF!</v>
      </c>
      <c r="E398" s="139"/>
      <c r="F398" s="142"/>
      <c r="G398" s="139"/>
    </row>
    <row r="399" spans="2:7" ht="165.6" customHeight="1" x14ac:dyDescent="1.8">
      <c r="B399" s="193" t="s">
        <v>725</v>
      </c>
      <c r="C399" s="193"/>
    </row>
    <row r="400" spans="2:7" ht="165.6" customHeight="1" x14ac:dyDescent="1.8">
      <c r="B400" s="193"/>
      <c r="C400" s="193"/>
      <c r="D400" s="134" t="s">
        <v>707</v>
      </c>
      <c r="E400" s="135" t="s">
        <v>708</v>
      </c>
      <c r="F400" s="135" t="s">
        <v>709</v>
      </c>
      <c r="G400" s="136" t="s">
        <v>710</v>
      </c>
    </row>
    <row r="401" spans="2:7" ht="165.6" customHeight="1" x14ac:dyDescent="1.8">
      <c r="B401" s="137" t="s">
        <v>711</v>
      </c>
      <c r="C401" s="137" t="s">
        <v>712</v>
      </c>
      <c r="D401" s="138"/>
      <c r="E401" s="138"/>
      <c r="F401" s="138"/>
      <c r="G401" s="139"/>
    </row>
    <row r="402" spans="2:7" ht="165.6" customHeight="1" x14ac:dyDescent="1.8">
      <c r="B402" s="140" t="str">
        <f>Employees!A341</f>
        <v>18</v>
      </c>
      <c r="C402" s="137" t="str">
        <f>Employees!D341</f>
        <v>ساحة علي</v>
      </c>
      <c r="D402" s="141" t="e">
        <f>Employees!#REF!</f>
        <v>#REF!</v>
      </c>
      <c r="E402" s="139"/>
      <c r="F402" s="142"/>
      <c r="G402" s="139"/>
    </row>
    <row r="403" spans="2:7" ht="165.6" customHeight="1" x14ac:dyDescent="1.8">
      <c r="B403" s="140" t="str">
        <f>Employees!A342</f>
        <v>53</v>
      </c>
      <c r="C403" s="137" t="str">
        <f>Employees!D342</f>
        <v>فليون عبد القادر</v>
      </c>
      <c r="D403" s="141" t="e">
        <f>Employees!#REF!</f>
        <v>#REF!</v>
      </c>
      <c r="E403" s="139"/>
      <c r="F403" s="142"/>
      <c r="G403" s="139"/>
    </row>
    <row r="404" spans="2:7" ht="165.6" customHeight="1" x14ac:dyDescent="1.8">
      <c r="B404" s="140" t="str">
        <f>Employees!A343</f>
        <v>125</v>
      </c>
      <c r="C404" s="137" t="str">
        <f>Employees!D343</f>
        <v>ساحة العربي</v>
      </c>
      <c r="D404" s="141" t="e">
        <f>Employees!#REF!</f>
        <v>#REF!</v>
      </c>
      <c r="E404" s="139"/>
      <c r="F404" s="142"/>
      <c r="G404" s="139"/>
    </row>
    <row r="405" spans="2:7" ht="165.6" customHeight="1" x14ac:dyDescent="1.8">
      <c r="B405" s="140" t="str">
        <f>Employees!A344</f>
        <v>204</v>
      </c>
      <c r="C405" s="137" t="str">
        <f>Employees!D344</f>
        <v>احويج فارس</v>
      </c>
      <c r="D405" s="141" t="e">
        <f>Employees!#REF!</f>
        <v>#REF!</v>
      </c>
      <c r="E405" s="139"/>
      <c r="F405" s="142"/>
      <c r="G405" s="139"/>
    </row>
    <row r="406" spans="2:7" ht="165.6" customHeight="1" x14ac:dyDescent="1.8">
      <c r="B406" s="140" t="str">
        <f>Employees!A345</f>
        <v>339</v>
      </c>
      <c r="C406" s="137" t="str">
        <f>Employees!D345</f>
        <v>منير عبد الكريم</v>
      </c>
      <c r="D406" s="141" t="e">
        <f>Employees!#REF!</f>
        <v>#REF!</v>
      </c>
      <c r="E406" s="139"/>
      <c r="F406" s="142"/>
      <c r="G406" s="139"/>
    </row>
    <row r="407" spans="2:7" ht="165.6" customHeight="1" x14ac:dyDescent="1.8">
      <c r="B407" s="140" t="str">
        <f>Employees!A346</f>
        <v>401</v>
      </c>
      <c r="C407" s="137" t="str">
        <f>Employees!D346</f>
        <v>ديدة الطاهر</v>
      </c>
      <c r="D407" s="141" t="e">
        <f>Employees!#REF!</f>
        <v>#REF!</v>
      </c>
      <c r="E407" s="139"/>
      <c r="F407" s="142"/>
      <c r="G407" s="139"/>
    </row>
    <row r="408" spans="2:7" ht="165.6" customHeight="1" x14ac:dyDescent="1.8">
      <c r="B408" s="193" t="s">
        <v>726</v>
      </c>
      <c r="C408" s="193"/>
    </row>
    <row r="409" spans="2:7" ht="165.6" customHeight="1" x14ac:dyDescent="1.8">
      <c r="B409" s="193"/>
      <c r="C409" s="193"/>
      <c r="D409" s="134" t="s">
        <v>707</v>
      </c>
      <c r="E409" s="135" t="s">
        <v>708</v>
      </c>
      <c r="F409" s="135" t="s">
        <v>709</v>
      </c>
      <c r="G409" s="136" t="s">
        <v>710</v>
      </c>
    </row>
    <row r="410" spans="2:7" ht="165.6" customHeight="1" x14ac:dyDescent="1.8">
      <c r="B410" s="137" t="s">
        <v>711</v>
      </c>
      <c r="C410" s="137" t="s">
        <v>712</v>
      </c>
      <c r="D410" s="138"/>
      <c r="E410" s="138"/>
      <c r="F410" s="138"/>
      <c r="G410" s="139"/>
    </row>
    <row r="411" spans="2:7" ht="165.6" customHeight="1" x14ac:dyDescent="1.8">
      <c r="B411" s="140" t="str">
        <f>Employees!A348</f>
        <v>22</v>
      </c>
      <c r="C411" s="137" t="str">
        <f>Employees!D348</f>
        <v>نويوات شويطر سفيان</v>
      </c>
      <c r="D411" s="141" t="e">
        <f>Employees!#REF!</f>
        <v>#REF!</v>
      </c>
      <c r="E411" s="139"/>
      <c r="F411" s="142"/>
      <c r="G411" s="139"/>
    </row>
    <row r="412" spans="2:7" ht="165.6" customHeight="1" x14ac:dyDescent="1.8">
      <c r="B412" s="140" t="str">
        <f>Employees!A349</f>
        <v>105</v>
      </c>
      <c r="C412" s="137" t="str">
        <f>Employees!D349</f>
        <v xml:space="preserve">بزايدية أمير </v>
      </c>
      <c r="D412" s="141" t="e">
        <f>Employees!#REF!</f>
        <v>#REF!</v>
      </c>
      <c r="E412" s="139"/>
      <c r="F412" s="142"/>
      <c r="G412" s="139"/>
    </row>
    <row r="413" spans="2:7" ht="165.6" customHeight="1" x14ac:dyDescent="1.8">
      <c r="B413" s="140" t="str">
        <f>Employees!A350</f>
        <v>158</v>
      </c>
      <c r="C413" s="137" t="str">
        <f>Employees!D350</f>
        <v>ربيعي محمد</v>
      </c>
      <c r="D413" s="141" t="e">
        <f>Employees!#REF!</f>
        <v>#REF!</v>
      </c>
      <c r="E413" s="139"/>
      <c r="F413" s="142"/>
      <c r="G413" s="139"/>
    </row>
    <row r="414" spans="2:7" ht="165.6" customHeight="1" x14ac:dyDescent="1.8">
      <c r="B414" s="140" t="str">
        <f>Employees!A351</f>
        <v>179</v>
      </c>
      <c r="C414" s="137" t="str">
        <f>Employees!D351</f>
        <v>عبد القوي عمار</v>
      </c>
      <c r="D414" s="141" t="e">
        <f>Employees!#REF!</f>
        <v>#REF!</v>
      </c>
      <c r="E414" s="139"/>
      <c r="F414" s="142"/>
      <c r="G414" s="139"/>
    </row>
    <row r="415" spans="2:7" ht="165.6" customHeight="1" x14ac:dyDescent="1.8">
      <c r="B415" s="140" t="str">
        <f>Employees!A352</f>
        <v>191</v>
      </c>
      <c r="C415" s="137" t="str">
        <f>Employees!D352</f>
        <v>ربيعي سالم</v>
      </c>
      <c r="D415" s="141" t="e">
        <f>Employees!#REF!</f>
        <v>#REF!</v>
      </c>
      <c r="E415" s="139"/>
      <c r="F415" s="142"/>
      <c r="G415" s="139"/>
    </row>
    <row r="416" spans="2:7" ht="165.6" customHeight="1" x14ac:dyDescent="1.8">
      <c r="B416" s="140" t="str">
        <f>Employees!A353</f>
        <v>263</v>
      </c>
      <c r="C416" s="137" t="str">
        <f>Employees!D353</f>
        <v>لشهب بوبكر</v>
      </c>
      <c r="D416" s="141" t="e">
        <f>Employees!#REF!</f>
        <v>#REF!</v>
      </c>
      <c r="E416" s="139"/>
      <c r="F416" s="142"/>
      <c r="G416" s="139"/>
    </row>
    <row r="417" spans="2:7" ht="165.6" customHeight="1" x14ac:dyDescent="1.8">
      <c r="B417" s="193" t="s">
        <v>727</v>
      </c>
      <c r="C417" s="193"/>
    </row>
    <row r="418" spans="2:7" ht="165.6" customHeight="1" x14ac:dyDescent="1.8">
      <c r="B418" s="193"/>
      <c r="C418" s="193"/>
      <c r="D418" s="134" t="s">
        <v>707</v>
      </c>
      <c r="E418" s="135" t="s">
        <v>708</v>
      </c>
      <c r="F418" s="135" t="s">
        <v>709</v>
      </c>
      <c r="G418" s="136" t="s">
        <v>710</v>
      </c>
    </row>
    <row r="419" spans="2:7" ht="165.6" customHeight="1" x14ac:dyDescent="1.8">
      <c r="B419" s="137" t="s">
        <v>711</v>
      </c>
      <c r="C419" s="137" t="s">
        <v>712</v>
      </c>
      <c r="D419" s="138"/>
      <c r="E419" s="138"/>
      <c r="F419" s="138"/>
      <c r="G419" s="139"/>
    </row>
    <row r="420" spans="2:7" ht="165.6" customHeight="1" x14ac:dyDescent="1.8">
      <c r="B420" s="140" t="str">
        <f>Employees!A355</f>
        <v>143</v>
      </c>
      <c r="C420" s="137" t="str">
        <f>Employees!D355</f>
        <v>بن احمد يونس</v>
      </c>
      <c r="D420" s="141" t="e">
        <f>Employees!#REF!</f>
        <v>#REF!</v>
      </c>
      <c r="E420" s="139"/>
      <c r="F420" s="142"/>
      <c r="G420" s="139"/>
    </row>
    <row r="421" spans="2:7" ht="165.6" customHeight="1" x14ac:dyDescent="1.8">
      <c r="B421" s="140" t="str">
        <f>Employees!A356</f>
        <v>258</v>
      </c>
      <c r="C421" s="137" t="str">
        <f>Employees!D356</f>
        <v>سقني عقبة</v>
      </c>
      <c r="D421" s="141" t="e">
        <f>Employees!#REF!</f>
        <v>#REF!</v>
      </c>
      <c r="E421" s="139"/>
      <c r="F421" s="142"/>
      <c r="G421" s="139"/>
    </row>
    <row r="422" spans="2:7" ht="165.6" customHeight="1" x14ac:dyDescent="1.8">
      <c r="B422" s="193" t="s">
        <v>728</v>
      </c>
      <c r="C422" s="193"/>
    </row>
    <row r="423" spans="2:7" ht="165.6" customHeight="1" x14ac:dyDescent="1.8">
      <c r="B423" s="193"/>
      <c r="C423" s="193"/>
      <c r="D423" s="134" t="s">
        <v>707</v>
      </c>
      <c r="E423" s="135" t="s">
        <v>708</v>
      </c>
      <c r="F423" s="135" t="s">
        <v>709</v>
      </c>
      <c r="G423" s="136" t="s">
        <v>710</v>
      </c>
    </row>
    <row r="424" spans="2:7" ht="165.6" customHeight="1" x14ac:dyDescent="1.8">
      <c r="B424" s="137" t="s">
        <v>711</v>
      </c>
      <c r="C424" s="137" t="s">
        <v>712</v>
      </c>
      <c r="D424" s="138"/>
      <c r="E424" s="138"/>
      <c r="F424" s="138"/>
      <c r="G424" s="139"/>
    </row>
    <row r="425" spans="2:7" ht="165.6" customHeight="1" x14ac:dyDescent="1.8">
      <c r="B425" s="140" t="str">
        <f>Employees!A358</f>
        <v>71</v>
      </c>
      <c r="C425" s="137" t="str">
        <f>Employees!D358</f>
        <v xml:space="preserve">عبيدي أسامة </v>
      </c>
      <c r="D425" s="141" t="e">
        <f>Employees!#REF!</f>
        <v>#REF!</v>
      </c>
      <c r="E425" s="139"/>
      <c r="F425" s="142"/>
      <c r="G425" s="139"/>
    </row>
    <row r="426" spans="2:7" ht="165.6" customHeight="1" x14ac:dyDescent="1.8">
      <c r="B426" s="140" t="str">
        <f>Employees!A359</f>
        <v>262</v>
      </c>
      <c r="C426" s="137" t="str">
        <f>Employees!D359</f>
        <v>عتيق نصر سليم</v>
      </c>
      <c r="D426" s="141" t="e">
        <f>Employees!#REF!</f>
        <v>#REF!</v>
      </c>
      <c r="E426" s="139"/>
      <c r="F426" s="142"/>
      <c r="G426" s="139"/>
    </row>
    <row r="427" spans="2:7" ht="165.6" customHeight="1" x14ac:dyDescent="1.8">
      <c r="B427" s="140" t="str">
        <f>Employees!A360</f>
        <v>276</v>
      </c>
      <c r="C427" s="137" t="str">
        <f>Employees!D360</f>
        <v>عتيق العربي يوسف</v>
      </c>
      <c r="D427" s="141" t="e">
        <f>Employees!#REF!</f>
        <v>#REF!</v>
      </c>
      <c r="E427" s="139"/>
      <c r="F427" s="142"/>
      <c r="G427" s="139"/>
    </row>
    <row r="428" spans="2:7" ht="165.6" customHeight="1" x14ac:dyDescent="1.8">
      <c r="B428" s="140" t="str">
        <f>Employees!A361</f>
        <v>359</v>
      </c>
      <c r="C428" s="137" t="str">
        <f>Employees!D361</f>
        <v>مسعي أحمد البشير</v>
      </c>
      <c r="D428" s="141" t="e">
        <f>Employees!#REF!</f>
        <v>#REF!</v>
      </c>
      <c r="E428" s="139"/>
      <c r="F428" s="142"/>
      <c r="G428" s="139"/>
    </row>
    <row r="429" spans="2:7" ht="165.6" customHeight="1" x14ac:dyDescent="1.8">
      <c r="B429" s="140" t="str">
        <f>Employees!A362</f>
        <v>369</v>
      </c>
      <c r="C429" s="137" t="str">
        <f>Employees!D362</f>
        <v>كشحة عادل</v>
      </c>
      <c r="D429" s="141" t="e">
        <f>Employees!#REF!</f>
        <v>#REF!</v>
      </c>
      <c r="E429" s="139"/>
      <c r="F429" s="142"/>
      <c r="G429" s="139"/>
    </row>
    <row r="430" spans="2:7" ht="165.6" customHeight="1" x14ac:dyDescent="1.8">
      <c r="B430" s="140" t="str">
        <f>Employees!A363</f>
        <v>387</v>
      </c>
      <c r="C430" s="137" t="str">
        <f>Employees!D363</f>
        <v>ربوح ميلود</v>
      </c>
      <c r="D430" s="141" t="e">
        <f>Employees!#REF!</f>
        <v>#REF!</v>
      </c>
      <c r="E430" s="139"/>
      <c r="F430" s="142"/>
      <c r="G430" s="139"/>
    </row>
    <row r="431" spans="2:7" ht="165.6" customHeight="1" x14ac:dyDescent="1.8">
      <c r="B431" s="140" t="str">
        <f>Employees!A364</f>
        <v>397</v>
      </c>
      <c r="C431" s="137" t="str">
        <f>Employees!D364</f>
        <v>عامر جلال</v>
      </c>
      <c r="D431" s="141" t="e">
        <f>Employees!#REF!</f>
        <v>#REF!</v>
      </c>
      <c r="E431" s="139"/>
      <c r="F431" s="142"/>
      <c r="G431" s="139"/>
    </row>
    <row r="432" spans="2:7" ht="165.6" customHeight="1" x14ac:dyDescent="1.8">
      <c r="B432" s="193" t="s">
        <v>729</v>
      </c>
      <c r="C432" s="193"/>
    </row>
    <row r="433" spans="2:7" ht="165.6" customHeight="1" x14ac:dyDescent="1.8">
      <c r="B433" s="193"/>
      <c r="C433" s="193"/>
      <c r="D433" s="134" t="s">
        <v>707</v>
      </c>
      <c r="E433" s="135" t="s">
        <v>708</v>
      </c>
      <c r="F433" s="135" t="s">
        <v>709</v>
      </c>
      <c r="G433" s="136" t="s">
        <v>710</v>
      </c>
    </row>
    <row r="434" spans="2:7" ht="165.6" customHeight="1" x14ac:dyDescent="1.8">
      <c r="B434" s="137" t="s">
        <v>711</v>
      </c>
      <c r="C434" s="137" t="s">
        <v>712</v>
      </c>
      <c r="D434" s="138"/>
      <c r="E434" s="138"/>
      <c r="F434" s="138"/>
      <c r="G434" s="139"/>
    </row>
    <row r="435" spans="2:7" ht="165.6" customHeight="1" x14ac:dyDescent="1.8">
      <c r="B435" s="140" t="str">
        <f>Employees!A366</f>
        <v>297</v>
      </c>
      <c r="C435" s="137" t="str">
        <f>Employees!D366</f>
        <v>تليلي الطاهر 02</v>
      </c>
      <c r="D435" s="141" t="e">
        <f>Employees!#REF!</f>
        <v>#REF!</v>
      </c>
      <c r="E435" s="139"/>
      <c r="F435" s="142"/>
      <c r="G435" s="139"/>
    </row>
    <row r="436" spans="2:7" ht="165.6" customHeight="1" x14ac:dyDescent="1.8">
      <c r="B436" s="140" t="str">
        <f>Employees!A367</f>
        <v>309</v>
      </c>
      <c r="C436" s="137" t="str">
        <f>Employees!D367</f>
        <v>عبابة هاشم</v>
      </c>
      <c r="D436" s="141" t="e">
        <f>Employees!#REF!</f>
        <v>#REF!</v>
      </c>
      <c r="E436" s="139"/>
      <c r="F436" s="142"/>
      <c r="G436" s="139"/>
    </row>
    <row r="437" spans="2:7" ht="165.6" customHeight="1" x14ac:dyDescent="1.8">
      <c r="B437" s="140" t="str">
        <f>Employees!A368</f>
        <v>337</v>
      </c>
      <c r="C437" s="137" t="str">
        <f>Employees!D368</f>
        <v>كوت نور الدين</v>
      </c>
      <c r="D437" s="141" t="e">
        <f>Employees!#REF!</f>
        <v>#REF!</v>
      </c>
      <c r="E437" s="139"/>
      <c r="F437" s="142"/>
      <c r="G437" s="139"/>
    </row>
    <row r="438" spans="2:7" ht="165.6" customHeight="1" x14ac:dyDescent="1.8">
      <c r="B438" s="140" t="str">
        <f>Employees!A369</f>
        <v>353</v>
      </c>
      <c r="C438" s="137" t="str">
        <f>Employees!D369</f>
        <v>براهمي عمار</v>
      </c>
      <c r="D438" s="141" t="e">
        <f>Employees!#REF!</f>
        <v>#REF!</v>
      </c>
      <c r="E438" s="139"/>
      <c r="F438" s="142"/>
      <c r="G438" s="139"/>
    </row>
    <row r="439" spans="2:7" ht="165.6" customHeight="1" x14ac:dyDescent="1.8">
      <c r="B439" s="193" t="s">
        <v>730</v>
      </c>
      <c r="C439" s="193"/>
    </row>
    <row r="440" spans="2:7" ht="165.6" customHeight="1" x14ac:dyDescent="1.8">
      <c r="B440" s="193"/>
      <c r="C440" s="193"/>
      <c r="D440" s="134" t="s">
        <v>707</v>
      </c>
      <c r="E440" s="135" t="s">
        <v>708</v>
      </c>
      <c r="F440" s="135" t="s">
        <v>709</v>
      </c>
      <c r="G440" s="136" t="s">
        <v>710</v>
      </c>
    </row>
    <row r="441" spans="2:7" ht="165.6" customHeight="1" x14ac:dyDescent="1.8">
      <c r="B441" s="137" t="s">
        <v>711</v>
      </c>
      <c r="C441" s="137" t="s">
        <v>712</v>
      </c>
      <c r="D441" s="138"/>
      <c r="E441" s="138"/>
      <c r="F441" s="138"/>
      <c r="G441" s="139"/>
    </row>
    <row r="442" spans="2:7" ht="165.6" customHeight="1" x14ac:dyDescent="1.8">
      <c r="B442" s="140" t="str">
        <f>Employees!A371</f>
        <v>311</v>
      </c>
      <c r="C442" s="137" t="str">
        <f>Employees!D371</f>
        <v>يومبعي محمد</v>
      </c>
      <c r="D442" s="141" t="e">
        <f>Employees!#REF!</f>
        <v>#REF!</v>
      </c>
      <c r="E442" s="139"/>
      <c r="F442" s="142"/>
      <c r="G442" s="139"/>
    </row>
    <row r="443" spans="2:7" ht="165.6" customHeight="1" x14ac:dyDescent="1.8">
      <c r="B443" s="140" t="str">
        <f>Employees!A373</f>
        <v>349</v>
      </c>
      <c r="C443" s="137" t="str">
        <f>Employees!D373</f>
        <v>حمادي الحبيب</v>
      </c>
      <c r="D443" s="141" t="e">
        <f>Employees!#REF!</f>
        <v>#REF!</v>
      </c>
      <c r="E443" s="139"/>
      <c r="F443" s="142"/>
      <c r="G443" s="139"/>
    </row>
    <row r="444" spans="2:7" ht="165.6" customHeight="1" x14ac:dyDescent="1.8">
      <c r="B444" s="140" t="str">
        <f>Employees!A374</f>
        <v>382</v>
      </c>
      <c r="C444" s="137" t="str">
        <f>Employees!D374</f>
        <v>جاب الله عبد السلام</v>
      </c>
      <c r="D444" s="141" t="e">
        <f>Employees!#REF!</f>
        <v>#REF!</v>
      </c>
      <c r="E444" s="139"/>
      <c r="F444" s="142"/>
      <c r="G444" s="139"/>
    </row>
    <row r="445" spans="2:7" ht="165.6" customHeight="1" x14ac:dyDescent="1.8">
      <c r="B445" s="193" t="s">
        <v>731</v>
      </c>
      <c r="C445" s="193"/>
    </row>
    <row r="446" spans="2:7" ht="165.6" customHeight="1" x14ac:dyDescent="1.8">
      <c r="B446" s="193"/>
      <c r="C446" s="193"/>
      <c r="D446" s="134" t="s">
        <v>707</v>
      </c>
      <c r="E446" s="135" t="s">
        <v>708</v>
      </c>
      <c r="F446" s="135" t="s">
        <v>709</v>
      </c>
      <c r="G446" s="136" t="s">
        <v>710</v>
      </c>
    </row>
    <row r="447" spans="2:7" ht="162.6" customHeight="1" x14ac:dyDescent="1.8">
      <c r="B447" s="137" t="s">
        <v>711</v>
      </c>
      <c r="C447" s="137" t="s">
        <v>712</v>
      </c>
      <c r="D447" s="138"/>
      <c r="E447" s="138"/>
      <c r="F447" s="138"/>
      <c r="G447" s="139"/>
    </row>
    <row r="448" spans="2:7" ht="162.6" customHeight="1" x14ac:dyDescent="1.8">
      <c r="B448" s="140" t="str">
        <f>Employees!A376</f>
        <v>159</v>
      </c>
      <c r="C448" s="137" t="str">
        <f>Employees!D376</f>
        <v>ممادي محمد الحبيب</v>
      </c>
      <c r="D448" s="141" t="e">
        <f>Employees!#REF!</f>
        <v>#REF!</v>
      </c>
      <c r="E448" s="139"/>
      <c r="F448" s="142"/>
      <c r="G448" s="139"/>
    </row>
    <row r="449" spans="2:7" ht="162.6" customHeight="1" x14ac:dyDescent="1.8">
      <c r="B449" s="140" t="str">
        <f>Employees!A377</f>
        <v>239</v>
      </c>
      <c r="C449" s="137" t="str">
        <f>Employees!D377</f>
        <v>حميد حمزة</v>
      </c>
      <c r="D449" s="141" t="e">
        <f>Employees!#REF!</f>
        <v>#REF!</v>
      </c>
      <c r="E449" s="139"/>
      <c r="F449" s="142"/>
      <c r="G449" s="139"/>
    </row>
    <row r="450" spans="2:7" ht="162.6" customHeight="1" x14ac:dyDescent="1.8">
      <c r="B450" s="140" t="str">
        <f>Employees!A378</f>
        <v>246</v>
      </c>
      <c r="C450" s="137" t="str">
        <f>Employees!D378</f>
        <v>زبيدي جعفر</v>
      </c>
      <c r="D450" s="141" t="e">
        <f>Employees!#REF!</f>
        <v>#REF!</v>
      </c>
      <c r="E450" s="139"/>
      <c r="F450" s="142"/>
      <c r="G450" s="139"/>
    </row>
    <row r="451" spans="2:7" ht="162.6" customHeight="1" x14ac:dyDescent="1.8">
      <c r="B451" s="140" t="str">
        <f>Employees!A379</f>
        <v>325</v>
      </c>
      <c r="C451" s="137" t="str">
        <f>Employees!D379</f>
        <v>مساعيد محمد الحبيب</v>
      </c>
      <c r="D451" s="141" t="e">
        <f>Employees!#REF!</f>
        <v>#REF!</v>
      </c>
      <c r="E451" s="139"/>
      <c r="F451" s="142"/>
      <c r="G451" s="139"/>
    </row>
  </sheetData>
  <mergeCells count="43">
    <mergeCell ref="B73:C74"/>
    <mergeCell ref="B1:G1"/>
    <mergeCell ref="B3:C4"/>
    <mergeCell ref="B18:C19"/>
    <mergeCell ref="B25:C26"/>
    <mergeCell ref="B30:C31"/>
    <mergeCell ref="B37:C38"/>
    <mergeCell ref="B44:C45"/>
    <mergeCell ref="B48:C49"/>
    <mergeCell ref="B57:C58"/>
    <mergeCell ref="B68:C69"/>
    <mergeCell ref="B217:C218"/>
    <mergeCell ref="B108:C109"/>
    <mergeCell ref="B143:C144"/>
    <mergeCell ref="B171:C172"/>
    <mergeCell ref="B177:C178"/>
    <mergeCell ref="B183:C184"/>
    <mergeCell ref="B188:C189"/>
    <mergeCell ref="B195:C196"/>
    <mergeCell ref="B200:C201"/>
    <mergeCell ref="B205:C206"/>
    <mergeCell ref="B210:C211"/>
    <mergeCell ref="B369:C370"/>
    <mergeCell ref="B235:C236"/>
    <mergeCell ref="B249:C250"/>
    <mergeCell ref="B263:C264"/>
    <mergeCell ref="B274:C275"/>
    <mergeCell ref="B284:C285"/>
    <mergeCell ref="B294:C295"/>
    <mergeCell ref="B307:C308"/>
    <mergeCell ref="B318:C319"/>
    <mergeCell ref="B342:C343"/>
    <mergeCell ref="B349:C350"/>
    <mergeCell ref="B354:C355"/>
    <mergeCell ref="B432:C433"/>
    <mergeCell ref="B439:C440"/>
    <mergeCell ref="B445:C446"/>
    <mergeCell ref="B374:C375"/>
    <mergeCell ref="B393:C394"/>
    <mergeCell ref="B399:C400"/>
    <mergeCell ref="B408:C409"/>
    <mergeCell ref="B417:C418"/>
    <mergeCell ref="B422:C423"/>
  </mergeCells>
  <conditionalFormatting sqref="B5:C17 B251:C262 B320:C341 B351:C353">
    <cfRule type="cellIs" dxfId="44" priority="86" operator="between">
      <formula>0</formula>
      <formula>0</formula>
    </cfRule>
  </conditionalFormatting>
  <conditionalFormatting sqref="B20:C24">
    <cfRule type="cellIs" dxfId="43" priority="85" operator="between">
      <formula>0</formula>
      <formula>0</formula>
    </cfRule>
  </conditionalFormatting>
  <conditionalFormatting sqref="B27:C29">
    <cfRule type="cellIs" dxfId="42" priority="84" operator="between">
      <formula>0</formula>
      <formula>0</formula>
    </cfRule>
  </conditionalFormatting>
  <conditionalFormatting sqref="B32:C36">
    <cfRule type="cellIs" dxfId="41" priority="83" operator="between">
      <formula>0</formula>
      <formula>0</formula>
    </cfRule>
  </conditionalFormatting>
  <conditionalFormatting sqref="B39:C43">
    <cfRule type="cellIs" dxfId="40" priority="82" operator="between">
      <formula>0</formula>
      <formula>0</formula>
    </cfRule>
  </conditionalFormatting>
  <conditionalFormatting sqref="B46:C47">
    <cfRule type="cellIs" dxfId="39" priority="77" operator="between">
      <formula>0</formula>
      <formula>0</formula>
    </cfRule>
  </conditionalFormatting>
  <conditionalFormatting sqref="B50:C56">
    <cfRule type="cellIs" dxfId="38" priority="76" operator="between">
      <formula>0</formula>
      <formula>0</formula>
    </cfRule>
  </conditionalFormatting>
  <conditionalFormatting sqref="B59:C67">
    <cfRule type="cellIs" dxfId="37" priority="74" operator="between">
      <formula>0</formula>
      <formula>0</formula>
    </cfRule>
  </conditionalFormatting>
  <conditionalFormatting sqref="B70:C72">
    <cfRule type="cellIs" dxfId="36" priority="72" operator="between">
      <formula>0</formula>
      <formula>0</formula>
    </cfRule>
  </conditionalFormatting>
  <conditionalFormatting sqref="B75:C107">
    <cfRule type="cellIs" dxfId="35" priority="70" operator="between">
      <formula>0</formula>
      <formula>0</formula>
    </cfRule>
  </conditionalFormatting>
  <conditionalFormatting sqref="B110:C142">
    <cfRule type="cellIs" dxfId="34" priority="68" operator="between">
      <formula>0</formula>
      <formula>0</formula>
    </cfRule>
  </conditionalFormatting>
  <conditionalFormatting sqref="B145:C170">
    <cfRule type="cellIs" dxfId="33" priority="66" operator="between">
      <formula>0</formula>
      <formula>0</formula>
    </cfRule>
  </conditionalFormatting>
  <conditionalFormatting sqref="B173:C176">
    <cfRule type="cellIs" dxfId="32" priority="63" operator="between">
      <formula>0</formula>
      <formula>0</formula>
    </cfRule>
  </conditionalFormatting>
  <conditionalFormatting sqref="B179:C182">
    <cfRule type="cellIs" dxfId="31" priority="61" operator="between">
      <formula>0</formula>
      <formula>0</formula>
    </cfRule>
  </conditionalFormatting>
  <conditionalFormatting sqref="B185:C187">
    <cfRule type="cellIs" dxfId="30" priority="59" operator="between">
      <formula>0</formula>
      <formula>0</formula>
    </cfRule>
  </conditionalFormatting>
  <conditionalFormatting sqref="B190:C194">
    <cfRule type="cellIs" dxfId="29" priority="57" operator="between">
      <formula>0</formula>
      <formula>0</formula>
    </cfRule>
  </conditionalFormatting>
  <conditionalFormatting sqref="B197:C199">
    <cfRule type="cellIs" dxfId="28" priority="55" operator="between">
      <formula>0</formula>
      <formula>0</formula>
    </cfRule>
  </conditionalFormatting>
  <conditionalFormatting sqref="B202:C204">
    <cfRule type="cellIs" dxfId="27" priority="53" operator="between">
      <formula>0</formula>
      <formula>0</formula>
    </cfRule>
  </conditionalFormatting>
  <conditionalFormatting sqref="B207:C209">
    <cfRule type="cellIs" dxfId="26" priority="51" operator="between">
      <formula>0</formula>
      <formula>0</formula>
    </cfRule>
  </conditionalFormatting>
  <conditionalFormatting sqref="B212:C216">
    <cfRule type="cellIs" dxfId="25" priority="47" operator="between">
      <formula>0</formula>
      <formula>0</formula>
    </cfRule>
  </conditionalFormatting>
  <conditionalFormatting sqref="B219:C234">
    <cfRule type="cellIs" dxfId="24" priority="45" operator="between">
      <formula>0</formula>
      <formula>0</formula>
    </cfRule>
  </conditionalFormatting>
  <conditionalFormatting sqref="B237:C248">
    <cfRule type="cellIs" dxfId="23" priority="43" operator="between">
      <formula>0</formula>
      <formula>0</formula>
    </cfRule>
  </conditionalFormatting>
  <conditionalFormatting sqref="B265:C273">
    <cfRule type="cellIs" dxfId="22" priority="39" operator="between">
      <formula>0</formula>
      <formula>0</formula>
    </cfRule>
  </conditionalFormatting>
  <conditionalFormatting sqref="B276:C283">
    <cfRule type="cellIs" dxfId="21" priority="37" operator="between">
      <formula>0</formula>
      <formula>0</formula>
    </cfRule>
  </conditionalFormatting>
  <conditionalFormatting sqref="B286:C293">
    <cfRule type="cellIs" dxfId="20" priority="35" operator="between">
      <formula>0</formula>
      <formula>0</formula>
    </cfRule>
  </conditionalFormatting>
  <conditionalFormatting sqref="B296:C306">
    <cfRule type="cellIs" dxfId="19" priority="33" operator="between">
      <formula>0</formula>
      <formula>0</formula>
    </cfRule>
  </conditionalFormatting>
  <conditionalFormatting sqref="B309:C317">
    <cfRule type="cellIs" dxfId="18" priority="31" operator="between">
      <formula>0</formula>
      <formula>0</formula>
    </cfRule>
  </conditionalFormatting>
  <conditionalFormatting sqref="B344:C348">
    <cfRule type="cellIs" dxfId="17" priority="27" operator="between">
      <formula>0</formula>
      <formula>0</formula>
    </cfRule>
  </conditionalFormatting>
  <conditionalFormatting sqref="B356:C368">
    <cfRule type="cellIs" dxfId="16" priority="23" operator="between">
      <formula>0</formula>
      <formula>0</formula>
    </cfRule>
  </conditionalFormatting>
  <conditionalFormatting sqref="B371:C373">
    <cfRule type="cellIs" dxfId="15" priority="21" operator="between">
      <formula>0</formula>
      <formula>0</formula>
    </cfRule>
  </conditionalFormatting>
  <conditionalFormatting sqref="B376:C392">
    <cfRule type="cellIs" dxfId="14" priority="19" operator="between">
      <formula>0</formula>
      <formula>0</formula>
    </cfRule>
  </conditionalFormatting>
  <conditionalFormatting sqref="B395:C398">
    <cfRule type="cellIs" dxfId="13" priority="17" operator="between">
      <formula>0</formula>
      <formula>0</formula>
    </cfRule>
  </conditionalFormatting>
  <conditionalFormatting sqref="B401:C407">
    <cfRule type="cellIs" dxfId="12" priority="15" operator="between">
      <formula>0</formula>
      <formula>0</formula>
    </cfRule>
  </conditionalFormatting>
  <conditionalFormatting sqref="B410:C416">
    <cfRule type="cellIs" dxfId="11" priority="13" operator="between">
      <formula>0</formula>
      <formula>0</formula>
    </cfRule>
  </conditionalFormatting>
  <conditionalFormatting sqref="B419:C421">
    <cfRule type="cellIs" dxfId="10" priority="11" operator="between">
      <formula>0</formula>
      <formula>0</formula>
    </cfRule>
  </conditionalFormatting>
  <conditionalFormatting sqref="B424:C431">
    <cfRule type="cellIs" dxfId="9" priority="9" operator="between">
      <formula>0</formula>
      <formula>0</formula>
    </cfRule>
  </conditionalFormatting>
  <conditionalFormatting sqref="B434:C438">
    <cfRule type="cellIs" dxfId="8" priority="7" operator="between">
      <formula>0</formula>
      <formula>0</formula>
    </cfRule>
  </conditionalFormatting>
  <conditionalFormatting sqref="B441:C444">
    <cfRule type="cellIs" dxfId="7" priority="5" operator="between">
      <formula>0</formula>
      <formula>0</formula>
    </cfRule>
  </conditionalFormatting>
  <conditionalFormatting sqref="B447:C451">
    <cfRule type="cellIs" dxfId="6" priority="3" operator="between">
      <formula>0</formula>
      <formula>0</formula>
    </cfRule>
  </conditionalFormatting>
  <conditionalFormatting sqref="C442:C444 C435:C438 C425:C431 C420:C421 C411:C416 C402:C407 C396:C398 C372:C373 C352:C353 C174:C176 C28:C29 C47 C21:C24 C33:C36 C40:C43 C51:C56 C71:C72 C146:C170 C180:C182 C186:C187 C198:C199 C203:C204 C208:C209 C213:C216 C191:C194 C6:C17 C111:C142 C220:C234 C238:C248 C252:C262 C266:C273 C277:C283 C287:C293 C310:C317 C321:C341 C345:C348 C357:C368 C377:C392 C448:C451 C76:C107 C60:C67">
    <cfRule type="colorScale" priority="9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71" top="0.75" bottom="0.75" header="0.3" footer="0.3"/>
  <pageSetup paperSize="9" scale="11" orientation="portrait" r:id="rId1"/>
  <rowBreaks count="13" manualBreakCount="13">
    <brk id="36" max="6" man="1"/>
    <brk id="72" max="16383" man="1"/>
    <brk id="107" max="16383" man="1"/>
    <brk id="142" max="16383" man="1"/>
    <brk id="170" max="16383" man="1"/>
    <brk id="204" max="6" man="1"/>
    <brk id="234" max="6" man="1"/>
    <brk id="273" max="6" man="1"/>
    <brk id="306" max="6" man="1"/>
    <brk id="341" max="16383" man="1"/>
    <brk id="373" max="6" man="1"/>
    <brk id="392" max="16383" man="1"/>
    <brk id="431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ورقة1"/>
  <dimension ref="A1:C160"/>
  <sheetViews>
    <sheetView rightToLeft="1" workbookViewId="0">
      <selection activeCell="G8" sqref="G8"/>
    </sheetView>
  </sheetViews>
  <sheetFormatPr defaultRowHeight="14.25" x14ac:dyDescent="0.2"/>
  <cols>
    <col min="2" max="2" width="29.75" bestFit="1" customWidth="1"/>
  </cols>
  <sheetData>
    <row r="1" spans="1:3" ht="16.5" x14ac:dyDescent="0.2">
      <c r="A1" s="37" t="s">
        <v>747</v>
      </c>
      <c r="B1" s="37" t="s">
        <v>748</v>
      </c>
      <c r="C1" s="38" t="s">
        <v>707</v>
      </c>
    </row>
    <row r="2" spans="1:3" ht="16.5" x14ac:dyDescent="0.2">
      <c r="A2" s="53"/>
      <c r="B2" s="53"/>
      <c r="C2" s="72"/>
    </row>
    <row r="3" spans="1:3" ht="16.5" x14ac:dyDescent="0.2">
      <c r="A3" s="53"/>
      <c r="B3" s="53"/>
      <c r="C3" s="72"/>
    </row>
    <row r="4" spans="1:3" ht="16.5" x14ac:dyDescent="0.2">
      <c r="A4" s="53"/>
      <c r="B4" s="53"/>
      <c r="C4" s="72"/>
    </row>
    <row r="5" spans="1:3" ht="16.5" x14ac:dyDescent="0.2">
      <c r="A5" s="53"/>
      <c r="B5" s="53"/>
      <c r="C5" s="72"/>
    </row>
    <row r="6" spans="1:3" ht="16.5" x14ac:dyDescent="0.2">
      <c r="A6" s="53"/>
      <c r="B6" s="53"/>
      <c r="C6" s="72"/>
    </row>
    <row r="7" spans="1:3" ht="16.5" x14ac:dyDescent="0.2">
      <c r="A7" s="53"/>
      <c r="B7" s="53"/>
      <c r="C7" s="72"/>
    </row>
    <row r="8" spans="1:3" ht="16.5" x14ac:dyDescent="0.2">
      <c r="A8" s="53"/>
      <c r="B8" s="53"/>
      <c r="C8" s="72"/>
    </row>
    <row r="9" spans="1:3" ht="16.5" x14ac:dyDescent="0.2">
      <c r="A9" s="53"/>
      <c r="B9" s="53"/>
      <c r="C9" s="72"/>
    </row>
    <row r="10" spans="1:3" ht="16.5" x14ac:dyDescent="0.2">
      <c r="A10" s="53"/>
      <c r="B10" s="53"/>
      <c r="C10" s="72"/>
    </row>
    <row r="11" spans="1:3" ht="16.5" x14ac:dyDescent="0.2">
      <c r="A11" s="53"/>
      <c r="B11" s="53"/>
      <c r="C11" s="72"/>
    </row>
    <row r="12" spans="1:3" ht="16.5" x14ac:dyDescent="0.2">
      <c r="A12" s="53"/>
      <c r="B12" s="53"/>
      <c r="C12" s="72"/>
    </row>
    <row r="13" spans="1:3" ht="16.5" x14ac:dyDescent="0.2">
      <c r="A13" s="53"/>
      <c r="B13" s="53"/>
      <c r="C13" s="72"/>
    </row>
    <row r="14" spans="1:3" ht="16.5" x14ac:dyDescent="0.2">
      <c r="A14" s="53"/>
      <c r="B14" s="53"/>
      <c r="C14" s="72"/>
    </row>
    <row r="15" spans="1:3" ht="16.5" x14ac:dyDescent="0.2">
      <c r="A15" s="53"/>
      <c r="B15" s="53"/>
      <c r="C15" s="72"/>
    </row>
    <row r="16" spans="1:3" ht="16.5" x14ac:dyDescent="0.2">
      <c r="A16" s="53"/>
      <c r="B16" s="53"/>
      <c r="C16" s="72"/>
    </row>
    <row r="17" spans="1:3" ht="16.5" x14ac:dyDescent="0.2">
      <c r="A17" s="53"/>
      <c r="B17" s="53"/>
      <c r="C17" s="72"/>
    </row>
    <row r="18" spans="1:3" ht="16.5" x14ac:dyDescent="0.2">
      <c r="A18" s="53"/>
      <c r="B18" s="53"/>
      <c r="C18" s="72"/>
    </row>
    <row r="19" spans="1:3" ht="16.5" x14ac:dyDescent="0.2">
      <c r="A19" s="53"/>
      <c r="B19" s="53"/>
      <c r="C19" s="72"/>
    </row>
    <row r="20" spans="1:3" ht="16.5" x14ac:dyDescent="0.2">
      <c r="A20" s="53"/>
      <c r="B20" s="53"/>
      <c r="C20" s="72"/>
    </row>
    <row r="21" spans="1:3" ht="16.5" x14ac:dyDescent="0.2">
      <c r="A21" s="53"/>
      <c r="B21" s="53"/>
      <c r="C21" s="72"/>
    </row>
    <row r="22" spans="1:3" ht="16.5" x14ac:dyDescent="0.2">
      <c r="A22" s="53"/>
      <c r="B22" s="53"/>
      <c r="C22" s="72"/>
    </row>
    <row r="23" spans="1:3" ht="16.5" x14ac:dyDescent="0.2">
      <c r="A23" s="53"/>
      <c r="B23" s="53"/>
      <c r="C23" s="72"/>
    </row>
    <row r="24" spans="1:3" ht="16.5" x14ac:dyDescent="0.2">
      <c r="A24" s="53"/>
      <c r="B24" s="53"/>
      <c r="C24" s="72"/>
    </row>
    <row r="25" spans="1:3" ht="16.5" x14ac:dyDescent="0.25">
      <c r="A25" s="53"/>
      <c r="B25" s="79"/>
      <c r="C25" s="77"/>
    </row>
    <row r="26" spans="1:3" ht="16.5" x14ac:dyDescent="0.2">
      <c r="A26" s="53"/>
      <c r="B26" s="53"/>
      <c r="C26" s="72"/>
    </row>
    <row r="27" spans="1:3" ht="16.5" x14ac:dyDescent="0.2">
      <c r="A27" s="53"/>
      <c r="B27" s="53"/>
      <c r="C27" s="72"/>
    </row>
    <row r="28" spans="1:3" ht="16.5" x14ac:dyDescent="0.2">
      <c r="A28" s="53"/>
      <c r="B28" s="53"/>
      <c r="C28" s="72"/>
    </row>
    <row r="29" spans="1:3" ht="16.5" x14ac:dyDescent="0.2">
      <c r="A29" s="53"/>
      <c r="B29" s="53"/>
      <c r="C29" s="72"/>
    </row>
    <row r="30" spans="1:3" ht="16.5" x14ac:dyDescent="0.2">
      <c r="A30" s="53"/>
      <c r="B30" s="53"/>
      <c r="C30" s="72"/>
    </row>
    <row r="31" spans="1:3" ht="16.5" x14ac:dyDescent="0.2">
      <c r="A31" s="53"/>
      <c r="B31" s="53"/>
      <c r="C31" s="72"/>
    </row>
    <row r="32" spans="1:3" ht="16.5" x14ac:dyDescent="0.2">
      <c r="A32" s="53"/>
      <c r="B32" s="53"/>
      <c r="C32" s="72"/>
    </row>
    <row r="33" spans="1:3" ht="16.5" x14ac:dyDescent="0.2">
      <c r="A33" s="53"/>
      <c r="B33" s="53"/>
      <c r="C33" s="72"/>
    </row>
    <row r="34" spans="1:3" ht="16.5" x14ac:dyDescent="0.2">
      <c r="A34" s="53"/>
      <c r="B34" s="53"/>
      <c r="C34" s="72"/>
    </row>
    <row r="35" spans="1:3" ht="16.5" x14ac:dyDescent="0.2">
      <c r="A35" s="53"/>
      <c r="B35" s="53"/>
      <c r="C35" s="72"/>
    </row>
    <row r="36" spans="1:3" ht="16.5" x14ac:dyDescent="0.2">
      <c r="A36" s="53"/>
      <c r="B36" s="53"/>
      <c r="C36" s="72"/>
    </row>
    <row r="37" spans="1:3" ht="16.5" x14ac:dyDescent="0.2">
      <c r="A37" s="53"/>
      <c r="B37" s="53"/>
      <c r="C37" s="72"/>
    </row>
    <row r="38" spans="1:3" ht="16.5" x14ac:dyDescent="0.2">
      <c r="A38" s="53"/>
      <c r="B38" s="53"/>
      <c r="C38" s="72"/>
    </row>
    <row r="39" spans="1:3" ht="16.5" x14ac:dyDescent="0.2">
      <c r="A39" s="53"/>
      <c r="B39" s="53"/>
      <c r="C39" s="72"/>
    </row>
    <row r="40" spans="1:3" ht="16.5" x14ac:dyDescent="0.2">
      <c r="A40" s="53"/>
      <c r="B40" s="53"/>
      <c r="C40" s="72"/>
    </row>
    <row r="41" spans="1:3" ht="16.5" x14ac:dyDescent="0.25">
      <c r="A41" s="53"/>
      <c r="B41" s="71"/>
      <c r="C41" s="72"/>
    </row>
    <row r="42" spans="1:3" ht="16.5" x14ac:dyDescent="0.2">
      <c r="A42" s="53"/>
      <c r="B42" s="53"/>
      <c r="C42" s="72"/>
    </row>
    <row r="43" spans="1:3" ht="16.5" x14ac:dyDescent="0.25">
      <c r="A43" s="53"/>
      <c r="B43" s="71"/>
      <c r="C43" s="72"/>
    </row>
    <row r="44" spans="1:3" ht="16.5" x14ac:dyDescent="0.2">
      <c r="A44" s="53"/>
      <c r="B44" s="53"/>
      <c r="C44" s="72"/>
    </row>
    <row r="45" spans="1:3" ht="16.5" x14ac:dyDescent="0.2">
      <c r="A45" s="53"/>
      <c r="B45" s="53"/>
      <c r="C45" s="72"/>
    </row>
    <row r="46" spans="1:3" ht="16.5" x14ac:dyDescent="0.2">
      <c r="A46" s="53"/>
      <c r="B46" s="53"/>
      <c r="C46" s="72"/>
    </row>
    <row r="47" spans="1:3" ht="16.5" x14ac:dyDescent="0.2">
      <c r="A47" s="53"/>
      <c r="B47" s="53"/>
      <c r="C47" s="72"/>
    </row>
    <row r="48" spans="1:3" ht="16.5" x14ac:dyDescent="0.2">
      <c r="A48" s="53"/>
      <c r="B48" s="53"/>
      <c r="C48" s="72"/>
    </row>
    <row r="49" spans="1:3" ht="16.5" x14ac:dyDescent="0.2">
      <c r="A49" s="53"/>
      <c r="B49" s="53"/>
      <c r="C49" s="72"/>
    </row>
    <row r="50" spans="1:3" ht="16.5" x14ac:dyDescent="0.2">
      <c r="A50" s="53"/>
      <c r="B50" s="53"/>
      <c r="C50" s="72"/>
    </row>
    <row r="51" spans="1:3" ht="16.5" x14ac:dyDescent="0.2">
      <c r="A51" s="53"/>
      <c r="B51" s="53"/>
      <c r="C51" s="72"/>
    </row>
    <row r="52" spans="1:3" ht="16.5" x14ac:dyDescent="0.2">
      <c r="A52" s="53"/>
      <c r="B52" s="53"/>
      <c r="C52" s="72"/>
    </row>
    <row r="53" spans="1:3" ht="16.5" x14ac:dyDescent="0.2">
      <c r="A53" s="53"/>
      <c r="B53" s="53"/>
      <c r="C53" s="72"/>
    </row>
    <row r="54" spans="1:3" ht="16.5" x14ac:dyDescent="0.2">
      <c r="A54" s="53"/>
      <c r="B54" s="53"/>
      <c r="C54" s="72"/>
    </row>
    <row r="55" spans="1:3" ht="16.5" x14ac:dyDescent="0.2">
      <c r="A55" s="53"/>
      <c r="B55" s="53"/>
      <c r="C55" s="72"/>
    </row>
    <row r="56" spans="1:3" ht="16.5" x14ac:dyDescent="0.25">
      <c r="A56" s="53"/>
      <c r="B56" s="71"/>
      <c r="C56" s="72"/>
    </row>
    <row r="57" spans="1:3" ht="16.5" x14ac:dyDescent="0.2">
      <c r="A57" s="53"/>
      <c r="B57" s="53"/>
      <c r="C57" s="72"/>
    </row>
    <row r="58" spans="1:3" ht="16.5" x14ac:dyDescent="0.2">
      <c r="A58" s="53"/>
      <c r="B58" s="53"/>
      <c r="C58" s="72"/>
    </row>
    <row r="59" spans="1:3" ht="16.5" x14ac:dyDescent="0.2">
      <c r="A59" s="53"/>
      <c r="B59" s="53"/>
      <c r="C59" s="72"/>
    </row>
    <row r="60" spans="1:3" ht="16.5" x14ac:dyDescent="0.2">
      <c r="A60" s="53"/>
      <c r="B60" s="53"/>
      <c r="C60" s="72"/>
    </row>
    <row r="61" spans="1:3" ht="16.5" x14ac:dyDescent="0.2">
      <c r="A61" s="53"/>
      <c r="B61" s="53"/>
      <c r="C61" s="72"/>
    </row>
    <row r="62" spans="1:3" ht="16.5" x14ac:dyDescent="0.2">
      <c r="A62" s="53"/>
      <c r="B62" s="53"/>
      <c r="C62" s="72"/>
    </row>
    <row r="63" spans="1:3" ht="16.5" x14ac:dyDescent="0.2">
      <c r="A63" s="53"/>
      <c r="B63" s="53"/>
      <c r="C63" s="72"/>
    </row>
    <row r="64" spans="1:3" ht="16.5" x14ac:dyDescent="0.2">
      <c r="A64" s="53"/>
      <c r="B64" s="53"/>
      <c r="C64" s="72"/>
    </row>
    <row r="65" spans="1:3" ht="16.5" x14ac:dyDescent="0.25">
      <c r="A65" s="53"/>
      <c r="B65" s="71"/>
      <c r="C65" s="72"/>
    </row>
    <row r="66" spans="1:3" ht="16.5" x14ac:dyDescent="0.2">
      <c r="A66" s="53"/>
      <c r="B66" s="53"/>
      <c r="C66" s="72"/>
    </row>
    <row r="67" spans="1:3" ht="16.5" x14ac:dyDescent="0.2">
      <c r="A67" s="53"/>
      <c r="B67" s="53"/>
      <c r="C67" s="72"/>
    </row>
    <row r="68" spans="1:3" ht="16.5" x14ac:dyDescent="0.2">
      <c r="A68" s="53"/>
      <c r="B68" s="53"/>
      <c r="C68" s="72"/>
    </row>
    <row r="69" spans="1:3" ht="16.5" x14ac:dyDescent="0.2">
      <c r="A69" s="53"/>
      <c r="B69" s="53"/>
      <c r="C69" s="72"/>
    </row>
    <row r="70" spans="1:3" ht="16.5" x14ac:dyDescent="0.2">
      <c r="A70" s="53"/>
      <c r="B70" s="53"/>
      <c r="C70" s="72"/>
    </row>
    <row r="71" spans="1:3" ht="16.5" x14ac:dyDescent="0.2">
      <c r="A71" s="53"/>
      <c r="B71" s="53"/>
      <c r="C71" s="72"/>
    </row>
    <row r="72" spans="1:3" ht="16.5" x14ac:dyDescent="0.25">
      <c r="A72" s="53"/>
      <c r="B72" s="71"/>
      <c r="C72" s="72"/>
    </row>
    <row r="73" spans="1:3" ht="16.5" x14ac:dyDescent="0.2">
      <c r="A73" s="53"/>
      <c r="B73" s="53"/>
      <c r="C73" s="72"/>
    </row>
    <row r="74" spans="1:3" ht="16.5" x14ac:dyDescent="0.2">
      <c r="A74" s="53"/>
      <c r="B74" s="80"/>
      <c r="C74" s="81"/>
    </row>
    <row r="75" spans="1:3" ht="16.5" x14ac:dyDescent="0.25">
      <c r="A75" s="53"/>
      <c r="B75" s="79"/>
      <c r="C75" s="77"/>
    </row>
    <row r="76" spans="1:3" ht="16.5" x14ac:dyDescent="0.2">
      <c r="A76" s="53"/>
      <c r="B76" s="53"/>
      <c r="C76" s="72"/>
    </row>
    <row r="77" spans="1:3" ht="16.5" x14ac:dyDescent="0.2">
      <c r="A77" s="53"/>
      <c r="B77" s="53"/>
      <c r="C77" s="72"/>
    </row>
    <row r="78" spans="1:3" ht="16.5" x14ac:dyDescent="0.2">
      <c r="A78" s="53"/>
      <c r="B78" s="53"/>
      <c r="C78" s="72"/>
    </row>
    <row r="79" spans="1:3" ht="16.5" x14ac:dyDescent="0.2">
      <c r="A79" s="53"/>
      <c r="B79" s="53"/>
      <c r="C79" s="72"/>
    </row>
    <row r="80" spans="1:3" ht="16.5" x14ac:dyDescent="0.2">
      <c r="A80" s="53"/>
      <c r="B80" s="53"/>
      <c r="C80" s="72"/>
    </row>
    <row r="81" spans="1:3" ht="16.5" x14ac:dyDescent="0.2">
      <c r="A81" s="53"/>
      <c r="B81" s="53"/>
      <c r="C81" s="72"/>
    </row>
    <row r="82" spans="1:3" ht="16.5" x14ac:dyDescent="0.2">
      <c r="A82" s="53"/>
      <c r="B82" s="53"/>
      <c r="C82" s="72"/>
    </row>
    <row r="83" spans="1:3" ht="16.5" x14ac:dyDescent="0.2">
      <c r="A83" s="53"/>
      <c r="B83" s="53"/>
      <c r="C83" s="72"/>
    </row>
    <row r="84" spans="1:3" ht="16.5" x14ac:dyDescent="0.2">
      <c r="A84" s="53"/>
      <c r="B84" s="53"/>
      <c r="C84" s="72"/>
    </row>
    <row r="85" spans="1:3" ht="16.5" x14ac:dyDescent="0.2">
      <c r="A85" s="53"/>
      <c r="B85" s="53"/>
      <c r="C85" s="72"/>
    </row>
    <row r="86" spans="1:3" ht="16.5" x14ac:dyDescent="0.2">
      <c r="A86" s="53"/>
      <c r="B86" s="53"/>
      <c r="C86" s="72"/>
    </row>
    <row r="87" spans="1:3" ht="16.5" x14ac:dyDescent="0.2">
      <c r="A87" s="53"/>
      <c r="B87" s="53"/>
      <c r="C87" s="72"/>
    </row>
    <row r="88" spans="1:3" ht="16.5" x14ac:dyDescent="0.2">
      <c r="A88" s="53"/>
      <c r="B88" s="53"/>
      <c r="C88" s="72"/>
    </row>
    <row r="89" spans="1:3" ht="16.5" x14ac:dyDescent="0.2">
      <c r="A89" s="53"/>
      <c r="B89" s="53"/>
      <c r="C89" s="72"/>
    </row>
    <row r="90" spans="1:3" ht="16.5" x14ac:dyDescent="0.2">
      <c r="A90" s="53"/>
      <c r="B90" s="53"/>
      <c r="C90" s="72"/>
    </row>
    <row r="91" spans="1:3" ht="16.5" x14ac:dyDescent="0.25">
      <c r="A91" s="53"/>
      <c r="B91" s="78"/>
      <c r="C91" s="72"/>
    </row>
    <row r="92" spans="1:3" ht="16.5" x14ac:dyDescent="0.2">
      <c r="A92" s="53"/>
      <c r="B92" s="53"/>
      <c r="C92" s="72"/>
    </row>
    <row r="93" spans="1:3" ht="16.5" x14ac:dyDescent="0.2">
      <c r="A93" s="53"/>
      <c r="B93" s="53"/>
      <c r="C93" s="72"/>
    </row>
    <row r="94" spans="1:3" ht="16.5" x14ac:dyDescent="0.25">
      <c r="A94" s="53"/>
      <c r="B94" s="78"/>
      <c r="C94" s="72"/>
    </row>
    <row r="95" spans="1:3" ht="16.5" x14ac:dyDescent="0.2">
      <c r="A95" s="53"/>
      <c r="B95" s="53"/>
      <c r="C95" s="72"/>
    </row>
    <row r="96" spans="1:3" ht="16.5" x14ac:dyDescent="0.2">
      <c r="A96" s="53"/>
      <c r="B96" s="53"/>
      <c r="C96" s="72"/>
    </row>
    <row r="97" spans="1:3" ht="16.5" x14ac:dyDescent="0.2">
      <c r="A97" s="53"/>
      <c r="B97" s="53"/>
      <c r="C97" s="72"/>
    </row>
    <row r="98" spans="1:3" ht="16.5" x14ac:dyDescent="0.25">
      <c r="A98" s="53"/>
      <c r="B98" s="79"/>
      <c r="C98" s="77"/>
    </row>
    <row r="99" spans="1:3" ht="16.5" x14ac:dyDescent="0.2">
      <c r="A99" s="53"/>
      <c r="B99" s="53"/>
      <c r="C99" s="72"/>
    </row>
    <row r="100" spans="1:3" ht="16.5" x14ac:dyDescent="0.2">
      <c r="A100" s="53"/>
      <c r="B100" s="53"/>
      <c r="C100" s="72"/>
    </row>
    <row r="101" spans="1:3" ht="16.5" x14ac:dyDescent="0.2">
      <c r="A101" s="53"/>
      <c r="B101" s="53"/>
      <c r="C101" s="72"/>
    </row>
    <row r="102" spans="1:3" ht="16.5" x14ac:dyDescent="0.2">
      <c r="A102" s="53"/>
      <c r="B102" s="53"/>
      <c r="C102" s="72"/>
    </row>
    <row r="103" spans="1:3" ht="16.5" x14ac:dyDescent="0.2">
      <c r="A103" s="53"/>
      <c r="B103" s="53"/>
      <c r="C103" s="72"/>
    </row>
    <row r="104" spans="1:3" ht="16.5" x14ac:dyDescent="0.2">
      <c r="A104" s="53"/>
      <c r="B104" s="53"/>
      <c r="C104" s="72"/>
    </row>
    <row r="105" spans="1:3" ht="16.5" x14ac:dyDescent="0.2">
      <c r="A105" s="53"/>
      <c r="B105" s="53"/>
      <c r="C105" s="72"/>
    </row>
    <row r="106" spans="1:3" ht="16.5" x14ac:dyDescent="0.2">
      <c r="A106" s="53"/>
      <c r="B106" s="53"/>
      <c r="C106" s="72"/>
    </row>
    <row r="107" spans="1:3" ht="16.5" x14ac:dyDescent="0.2">
      <c r="A107" s="53"/>
      <c r="B107" s="53"/>
      <c r="C107" s="72"/>
    </row>
    <row r="108" spans="1:3" ht="16.5" x14ac:dyDescent="0.2">
      <c r="A108" s="53"/>
      <c r="B108" s="53"/>
      <c r="C108" s="72"/>
    </row>
    <row r="109" spans="1:3" ht="16.5" x14ac:dyDescent="0.2">
      <c r="A109" s="53"/>
      <c r="B109" s="53"/>
      <c r="C109" s="72"/>
    </row>
    <row r="110" spans="1:3" ht="16.5" x14ac:dyDescent="0.2">
      <c r="A110" s="53"/>
      <c r="B110" s="53"/>
      <c r="C110" s="72"/>
    </row>
    <row r="111" spans="1:3" ht="16.5" x14ac:dyDescent="0.2">
      <c r="A111" s="53"/>
      <c r="B111" s="53"/>
      <c r="C111" s="72"/>
    </row>
    <row r="112" spans="1:3" ht="16.5" x14ac:dyDescent="0.2">
      <c r="A112" s="53"/>
      <c r="B112" s="53"/>
      <c r="C112" s="72"/>
    </row>
    <row r="113" spans="1:3" ht="16.5" x14ac:dyDescent="0.2">
      <c r="A113" s="53"/>
      <c r="B113" s="53"/>
      <c r="C113" s="72"/>
    </row>
    <row r="114" spans="1:3" ht="16.5" x14ac:dyDescent="0.2">
      <c r="A114" s="53"/>
      <c r="B114" s="53"/>
      <c r="C114" s="72"/>
    </row>
    <row r="115" spans="1:3" ht="16.5" x14ac:dyDescent="0.2">
      <c r="A115" s="53"/>
      <c r="B115" s="53"/>
      <c r="C115" s="72"/>
    </row>
    <row r="116" spans="1:3" ht="16.5" x14ac:dyDescent="0.2">
      <c r="A116" s="53"/>
      <c r="B116" s="53"/>
      <c r="C116" s="72"/>
    </row>
    <row r="117" spans="1:3" ht="16.5" x14ac:dyDescent="0.2">
      <c r="A117" s="53"/>
      <c r="B117" s="53"/>
      <c r="C117" s="72"/>
    </row>
    <row r="118" spans="1:3" ht="16.5" x14ac:dyDescent="0.2">
      <c r="A118" s="53"/>
      <c r="B118" s="53"/>
      <c r="C118" s="72"/>
    </row>
    <row r="119" spans="1:3" ht="16.5" x14ac:dyDescent="0.2">
      <c r="A119" s="53"/>
      <c r="B119" s="53"/>
      <c r="C119" s="72"/>
    </row>
    <row r="120" spans="1:3" ht="16.5" x14ac:dyDescent="0.2">
      <c r="A120" s="53"/>
      <c r="B120" s="53"/>
      <c r="C120" s="72"/>
    </row>
    <row r="121" spans="1:3" ht="16.5" x14ac:dyDescent="0.2">
      <c r="A121" s="53"/>
      <c r="B121" s="53"/>
      <c r="C121" s="72"/>
    </row>
    <row r="122" spans="1:3" ht="16.5" x14ac:dyDescent="0.2">
      <c r="A122" s="53"/>
      <c r="B122" s="53"/>
      <c r="C122" s="72"/>
    </row>
    <row r="123" spans="1:3" ht="16.5" x14ac:dyDescent="0.2">
      <c r="A123" s="53"/>
      <c r="B123" s="53"/>
      <c r="C123" s="72"/>
    </row>
    <row r="124" spans="1:3" ht="16.5" x14ac:dyDescent="0.2">
      <c r="A124" s="53"/>
      <c r="B124" s="53"/>
      <c r="C124" s="72"/>
    </row>
    <row r="125" spans="1:3" ht="16.5" x14ac:dyDescent="0.2">
      <c r="A125" s="53"/>
      <c r="B125" s="53"/>
      <c r="C125" s="72"/>
    </row>
    <row r="126" spans="1:3" ht="16.5" x14ac:dyDescent="0.2">
      <c r="A126" s="53"/>
      <c r="B126" s="53"/>
      <c r="C126" s="72"/>
    </row>
    <row r="127" spans="1:3" ht="16.5" x14ac:dyDescent="0.2">
      <c r="A127" s="53"/>
      <c r="B127" s="53"/>
      <c r="C127" s="72"/>
    </row>
    <row r="128" spans="1:3" ht="16.5" x14ac:dyDescent="0.2">
      <c r="A128" s="53"/>
      <c r="B128" s="53"/>
      <c r="C128" s="72"/>
    </row>
    <row r="129" spans="1:3" ht="16.5" x14ac:dyDescent="0.25">
      <c r="A129" s="53"/>
      <c r="B129" s="71"/>
      <c r="C129" s="72"/>
    </row>
    <row r="130" spans="1:3" ht="16.5" x14ac:dyDescent="0.2">
      <c r="A130" s="53"/>
      <c r="B130" s="53"/>
      <c r="C130" s="72"/>
    </row>
    <row r="131" spans="1:3" ht="16.5" x14ac:dyDescent="0.2">
      <c r="A131" s="53"/>
      <c r="B131" s="53"/>
      <c r="C131" s="72"/>
    </row>
    <row r="132" spans="1:3" ht="16.5" x14ac:dyDescent="0.2">
      <c r="A132" s="53"/>
      <c r="B132" s="53"/>
      <c r="C132" s="72"/>
    </row>
    <row r="133" spans="1:3" ht="16.5" x14ac:dyDescent="0.2">
      <c r="A133" s="53"/>
      <c r="B133" s="53"/>
      <c r="C133" s="32"/>
    </row>
    <row r="134" spans="1:3" ht="16.5" x14ac:dyDescent="0.2">
      <c r="A134" s="53"/>
      <c r="B134" s="53"/>
      <c r="C134" s="32"/>
    </row>
    <row r="135" spans="1:3" ht="16.5" x14ac:dyDescent="0.2">
      <c r="A135" s="53"/>
      <c r="B135" s="53"/>
      <c r="C135" s="72"/>
    </row>
    <row r="136" spans="1:3" ht="16.5" x14ac:dyDescent="0.2">
      <c r="A136" s="53"/>
      <c r="B136" s="53"/>
      <c r="C136" s="72"/>
    </row>
    <row r="137" spans="1:3" ht="16.5" x14ac:dyDescent="0.2">
      <c r="A137" s="53"/>
      <c r="B137" s="53"/>
      <c r="C137" s="72"/>
    </row>
    <row r="138" spans="1:3" ht="16.5" x14ac:dyDescent="0.2">
      <c r="A138" s="53"/>
      <c r="B138" s="53"/>
      <c r="C138" s="72"/>
    </row>
    <row r="139" spans="1:3" ht="16.5" x14ac:dyDescent="0.2">
      <c r="A139" s="53"/>
      <c r="B139" s="53"/>
      <c r="C139" s="72"/>
    </row>
    <row r="140" spans="1:3" ht="16.5" x14ac:dyDescent="0.2">
      <c r="A140" s="53"/>
      <c r="B140" s="53"/>
      <c r="C140" s="72"/>
    </row>
    <row r="141" spans="1:3" ht="16.5" x14ac:dyDescent="0.25">
      <c r="A141" s="53"/>
      <c r="B141" s="71"/>
      <c r="C141" s="72"/>
    </row>
    <row r="142" spans="1:3" ht="16.5" x14ac:dyDescent="0.2">
      <c r="A142" s="53"/>
      <c r="B142" s="53"/>
      <c r="C142" s="72"/>
    </row>
    <row r="143" spans="1:3" ht="16.5" x14ac:dyDescent="0.2">
      <c r="A143" s="53"/>
      <c r="B143" s="53"/>
      <c r="C143" s="72"/>
    </row>
    <row r="144" spans="1:3" ht="16.5" x14ac:dyDescent="0.2">
      <c r="A144" s="53"/>
      <c r="B144" s="53"/>
      <c r="C144" s="72"/>
    </row>
    <row r="145" spans="1:3" ht="16.5" x14ac:dyDescent="0.2">
      <c r="A145" s="53"/>
      <c r="B145" s="53"/>
      <c r="C145" s="72"/>
    </row>
    <row r="146" spans="1:3" ht="16.5" x14ac:dyDescent="0.2">
      <c r="A146" s="53"/>
      <c r="B146" s="53"/>
      <c r="C146" s="72"/>
    </row>
    <row r="147" spans="1:3" ht="16.5" x14ac:dyDescent="0.2">
      <c r="A147" s="53"/>
      <c r="B147" s="53"/>
      <c r="C147" s="72"/>
    </row>
    <row r="148" spans="1:3" ht="16.5" x14ac:dyDescent="0.2">
      <c r="A148" s="53"/>
      <c r="B148" s="53"/>
      <c r="C148" s="72"/>
    </row>
    <row r="149" spans="1:3" ht="16.5" x14ac:dyDescent="0.2">
      <c r="A149" s="53"/>
      <c r="B149" s="53"/>
      <c r="C149" s="72"/>
    </row>
    <row r="150" spans="1:3" ht="16.5" x14ac:dyDescent="0.2">
      <c r="A150" s="53"/>
      <c r="B150" s="53"/>
      <c r="C150" s="72"/>
    </row>
    <row r="151" spans="1:3" ht="16.5" x14ac:dyDescent="0.2">
      <c r="A151" s="53"/>
      <c r="B151" s="53"/>
      <c r="C151" s="72"/>
    </row>
    <row r="152" spans="1:3" ht="16.5" x14ac:dyDescent="0.2">
      <c r="A152" s="53"/>
      <c r="B152" s="53"/>
      <c r="C152" s="72"/>
    </row>
    <row r="153" spans="1:3" ht="16.5" x14ac:dyDescent="0.2">
      <c r="A153" s="53"/>
      <c r="B153" s="53"/>
      <c r="C153" s="72"/>
    </row>
    <row r="154" spans="1:3" ht="16.5" x14ac:dyDescent="0.2">
      <c r="A154" s="53"/>
      <c r="B154" s="53"/>
      <c r="C154" s="72"/>
    </row>
    <row r="155" spans="1:3" ht="16.5" x14ac:dyDescent="0.2">
      <c r="A155" s="53"/>
      <c r="B155" s="53"/>
      <c r="C155" s="72"/>
    </row>
    <row r="156" spans="1:3" ht="16.5" x14ac:dyDescent="0.2">
      <c r="A156" s="53"/>
      <c r="B156" s="53"/>
      <c r="C156" s="72"/>
    </row>
    <row r="157" spans="1:3" ht="16.5" x14ac:dyDescent="0.2">
      <c r="A157" s="53"/>
      <c r="B157" s="53"/>
      <c r="C157" s="72"/>
    </row>
    <row r="158" spans="1:3" ht="16.5" x14ac:dyDescent="0.2">
      <c r="A158" s="53"/>
      <c r="B158" s="53"/>
      <c r="C158" s="72"/>
    </row>
    <row r="159" spans="1:3" ht="16.5" x14ac:dyDescent="0.2">
      <c r="A159" s="53"/>
      <c r="B159" s="53"/>
      <c r="C159" s="72"/>
    </row>
    <row r="160" spans="1:3" ht="16.5" x14ac:dyDescent="0.2">
      <c r="A160" s="53"/>
      <c r="B160" s="53"/>
      <c r="C160" s="72"/>
    </row>
  </sheetData>
  <pageMargins left="0.7" right="0.7" top="0.75" bottom="0.75" header="0.3" footer="0.3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0]!TransferAndColorWorkers">
                <anchor moveWithCells="1" sizeWithCells="1">
                  <from>
                    <xdr:col>4</xdr:col>
                    <xdr:colOff>609600</xdr:colOff>
                    <xdr:row>1</xdr:row>
                    <xdr:rowOff>0</xdr:rowOff>
                  </from>
                  <to>
                    <xdr:col>8</xdr:col>
                    <xdr:colOff>95250</xdr:colOff>
                    <xdr:row>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ورقة2"/>
  <dimension ref="A1:E321"/>
  <sheetViews>
    <sheetView rightToLeft="1" zoomScale="70" zoomScaleNormal="70" workbookViewId="0">
      <selection activeCell="D9" sqref="D9"/>
    </sheetView>
  </sheetViews>
  <sheetFormatPr defaultColWidth="11.375" defaultRowHeight="14.25" x14ac:dyDescent="0.2"/>
  <cols>
    <col min="1" max="1" width="5.125" customWidth="1"/>
    <col min="2" max="2" width="30.125" bestFit="1" customWidth="1"/>
    <col min="3" max="3" width="5.625" style="59" customWidth="1"/>
    <col min="4" max="4" width="31.125" style="36" customWidth="1"/>
    <col min="5" max="5" width="11.375" style="36"/>
  </cols>
  <sheetData>
    <row r="1" spans="1:5" s="41" customFormat="1" ht="20.25" customHeight="1" x14ac:dyDescent="0.25">
      <c r="A1" s="37" t="s">
        <v>747</v>
      </c>
      <c r="B1" s="37" t="s">
        <v>748</v>
      </c>
      <c r="C1" s="38" t="s">
        <v>707</v>
      </c>
      <c r="D1" s="39"/>
      <c r="E1" s="40"/>
    </row>
    <row r="2" spans="1:5" s="41" customFormat="1" ht="20.25" customHeight="1" x14ac:dyDescent="0.25">
      <c r="A2" s="53"/>
      <c r="B2" s="71"/>
      <c r="C2" s="72"/>
      <c r="D2" s="90"/>
      <c r="E2" s="91"/>
    </row>
    <row r="3" spans="1:5" s="41" customFormat="1" ht="20.25" customHeight="1" x14ac:dyDescent="0.25">
      <c r="A3" s="42"/>
      <c r="B3" s="71"/>
      <c r="C3" s="72"/>
      <c r="D3" s="39"/>
      <c r="E3" s="40"/>
    </row>
    <row r="4" spans="1:5" s="41" customFormat="1" ht="20.25" customHeight="1" x14ac:dyDescent="0.25">
      <c r="A4" s="42"/>
      <c r="B4" s="71"/>
      <c r="C4" s="72"/>
      <c r="D4" s="39"/>
      <c r="E4" s="40"/>
    </row>
    <row r="5" spans="1:5" s="41" customFormat="1" ht="20.25" customHeight="1" x14ac:dyDescent="0.25">
      <c r="A5" s="42"/>
      <c r="B5" s="71"/>
      <c r="C5" s="72"/>
      <c r="D5" s="39"/>
      <c r="E5" s="40"/>
    </row>
    <row r="6" spans="1:5" s="41" customFormat="1" ht="20.25" customHeight="1" x14ac:dyDescent="0.25">
      <c r="A6" s="42"/>
      <c r="B6" s="71"/>
      <c r="C6" s="72"/>
      <c r="D6" s="39"/>
      <c r="E6" s="40"/>
    </row>
    <row r="7" spans="1:5" s="44" customFormat="1" ht="20.25" customHeight="1" x14ac:dyDescent="0.25">
      <c r="A7" s="42"/>
      <c r="B7" s="53"/>
      <c r="C7" s="72"/>
      <c r="D7" s="39"/>
      <c r="E7" s="40"/>
    </row>
    <row r="8" spans="1:5" s="44" customFormat="1" ht="20.25" customHeight="1" x14ac:dyDescent="0.25">
      <c r="A8" s="42"/>
      <c r="B8" s="71"/>
      <c r="C8" s="72"/>
      <c r="D8" s="39"/>
      <c r="E8" s="40"/>
    </row>
    <row r="9" spans="1:5" s="44" customFormat="1" ht="20.25" customHeight="1" x14ac:dyDescent="0.25">
      <c r="A9" s="42"/>
      <c r="B9" s="71"/>
      <c r="C9" s="72"/>
      <c r="D9" s="39"/>
      <c r="E9" s="40"/>
    </row>
    <row r="10" spans="1:5" s="44" customFormat="1" ht="20.25" customHeight="1" x14ac:dyDescent="0.25">
      <c r="A10" s="42"/>
      <c r="B10" s="73"/>
      <c r="C10" s="72"/>
      <c r="D10" s="39"/>
      <c r="E10" s="40"/>
    </row>
    <row r="11" spans="1:5" s="44" customFormat="1" ht="20.25" customHeight="1" x14ac:dyDescent="0.25">
      <c r="A11" s="42"/>
      <c r="B11" s="71"/>
      <c r="C11" s="72"/>
      <c r="D11" s="39"/>
      <c r="E11" s="40"/>
    </row>
    <row r="12" spans="1:5" s="41" customFormat="1" ht="20.25" customHeight="1" x14ac:dyDescent="0.25">
      <c r="A12" s="42"/>
      <c r="B12" s="71"/>
      <c r="C12" s="72"/>
      <c r="D12" s="39"/>
      <c r="E12" s="40"/>
    </row>
    <row r="13" spans="1:5" s="44" customFormat="1" ht="20.25" customHeight="1" x14ac:dyDescent="0.25">
      <c r="A13" s="42"/>
      <c r="B13" s="71"/>
      <c r="C13" s="72"/>
      <c r="D13" s="39"/>
      <c r="E13" s="40"/>
    </row>
    <row r="14" spans="1:5" s="44" customFormat="1" ht="20.25" customHeight="1" x14ac:dyDescent="0.25">
      <c r="A14" s="42"/>
      <c r="B14" s="71"/>
      <c r="C14" s="72"/>
      <c r="D14" s="39"/>
      <c r="E14" s="40"/>
    </row>
    <row r="15" spans="1:5" s="44" customFormat="1" ht="20.25" customHeight="1" x14ac:dyDescent="0.25">
      <c r="A15" s="42"/>
      <c r="B15" s="71"/>
      <c r="C15" s="72"/>
      <c r="D15" s="39"/>
      <c r="E15" s="40"/>
    </row>
    <row r="16" spans="1:5" s="44" customFormat="1" ht="20.25" customHeight="1" x14ac:dyDescent="0.25">
      <c r="A16" s="42"/>
      <c r="B16" s="71"/>
      <c r="C16" s="72"/>
      <c r="D16" s="39"/>
      <c r="E16" s="40"/>
    </row>
    <row r="17" spans="1:5" s="44" customFormat="1" ht="20.25" customHeight="1" x14ac:dyDescent="0.25">
      <c r="A17" s="42"/>
      <c r="B17" s="71"/>
      <c r="C17" s="72"/>
      <c r="D17" s="39"/>
      <c r="E17" s="40"/>
    </row>
    <row r="18" spans="1:5" s="44" customFormat="1" ht="20.25" customHeight="1" x14ac:dyDescent="0.25">
      <c r="A18" s="42"/>
      <c r="B18" s="71"/>
      <c r="C18" s="72"/>
      <c r="D18" s="39"/>
      <c r="E18" s="40"/>
    </row>
    <row r="19" spans="1:5" s="44" customFormat="1" ht="20.25" customHeight="1" x14ac:dyDescent="0.25">
      <c r="A19" s="42"/>
      <c r="B19" s="71"/>
      <c r="C19" s="72"/>
      <c r="D19" s="39"/>
      <c r="E19" s="40"/>
    </row>
    <row r="20" spans="1:5" s="41" customFormat="1" ht="20.25" customHeight="1" x14ac:dyDescent="0.25">
      <c r="A20" s="42"/>
      <c r="B20" s="71"/>
      <c r="C20" s="72"/>
      <c r="D20" s="39"/>
      <c r="E20" s="40"/>
    </row>
    <row r="21" spans="1:5" s="44" customFormat="1" ht="20.25" customHeight="1" x14ac:dyDescent="0.25">
      <c r="A21" s="42"/>
      <c r="B21" s="71"/>
      <c r="C21" s="72"/>
      <c r="D21" s="39"/>
      <c r="E21" s="40"/>
    </row>
    <row r="22" spans="1:5" s="44" customFormat="1" ht="20.25" customHeight="1" x14ac:dyDescent="0.25">
      <c r="A22" s="42"/>
      <c r="B22" s="71"/>
      <c r="C22" s="72"/>
      <c r="D22" s="39"/>
      <c r="E22" s="40"/>
    </row>
    <row r="23" spans="1:5" s="44" customFormat="1" ht="20.25" customHeight="1" x14ac:dyDescent="0.25">
      <c r="A23" s="42"/>
      <c r="B23" s="71"/>
      <c r="C23" s="72"/>
      <c r="D23" s="39"/>
      <c r="E23" s="40"/>
    </row>
    <row r="24" spans="1:5" s="44" customFormat="1" ht="20.25" customHeight="1" x14ac:dyDescent="0.25">
      <c r="A24" s="42"/>
      <c r="B24" s="71"/>
      <c r="C24" s="72"/>
      <c r="D24" s="39"/>
      <c r="E24" s="40"/>
    </row>
    <row r="25" spans="1:5" s="44" customFormat="1" ht="20.25" customHeight="1" x14ac:dyDescent="0.25">
      <c r="A25" s="42"/>
      <c r="B25" s="71"/>
      <c r="C25" s="72"/>
      <c r="D25" s="39"/>
      <c r="E25" s="40"/>
    </row>
    <row r="26" spans="1:5" s="44" customFormat="1" ht="20.25" customHeight="1" x14ac:dyDescent="0.25">
      <c r="A26" s="42"/>
      <c r="B26" s="71"/>
      <c r="C26" s="72"/>
      <c r="D26" s="39"/>
      <c r="E26" s="40"/>
    </row>
    <row r="27" spans="1:5" s="44" customFormat="1" ht="20.25" customHeight="1" x14ac:dyDescent="0.25">
      <c r="A27" s="42"/>
      <c r="B27" s="71"/>
      <c r="C27" s="72"/>
      <c r="D27" s="39"/>
      <c r="E27" s="40"/>
    </row>
    <row r="28" spans="1:5" s="44" customFormat="1" ht="20.25" customHeight="1" x14ac:dyDescent="0.25">
      <c r="A28" s="42"/>
      <c r="B28" s="71"/>
      <c r="C28" s="72"/>
      <c r="D28" s="39"/>
      <c r="E28" s="40"/>
    </row>
    <row r="29" spans="1:5" s="44" customFormat="1" ht="20.25" customHeight="1" x14ac:dyDescent="0.25">
      <c r="A29" s="42"/>
      <c r="B29" s="71"/>
      <c r="C29" s="72"/>
      <c r="D29" s="39"/>
      <c r="E29" s="40"/>
    </row>
    <row r="30" spans="1:5" s="44" customFormat="1" ht="20.25" customHeight="1" x14ac:dyDescent="0.25">
      <c r="A30" s="42"/>
      <c r="B30" s="71"/>
      <c r="C30" s="72"/>
      <c r="D30" s="39"/>
      <c r="E30" s="40"/>
    </row>
    <row r="31" spans="1:5" s="44" customFormat="1" ht="20.25" customHeight="1" x14ac:dyDescent="0.25">
      <c r="A31" s="42"/>
      <c r="B31" s="71"/>
      <c r="C31" s="72"/>
      <c r="D31" s="39"/>
      <c r="E31" s="40"/>
    </row>
    <row r="32" spans="1:5" s="44" customFormat="1" ht="20.25" customHeight="1" x14ac:dyDescent="0.25">
      <c r="A32" s="42"/>
      <c r="B32" s="71"/>
      <c r="C32" s="72"/>
      <c r="D32" s="39"/>
      <c r="E32" s="40"/>
    </row>
    <row r="33" spans="1:5" s="44" customFormat="1" ht="20.25" customHeight="1" x14ac:dyDescent="0.25">
      <c r="A33" s="42"/>
      <c r="B33" s="53"/>
      <c r="C33" s="72"/>
      <c r="D33" s="39"/>
      <c r="E33" s="40"/>
    </row>
    <row r="34" spans="1:5" s="44" customFormat="1" ht="20.25" customHeight="1" x14ac:dyDescent="0.25">
      <c r="A34" s="42"/>
      <c r="B34" s="53"/>
      <c r="C34" s="72"/>
      <c r="D34" s="39"/>
      <c r="E34" s="40"/>
    </row>
    <row r="35" spans="1:5" s="44" customFormat="1" ht="20.25" customHeight="1" x14ac:dyDescent="0.25">
      <c r="A35" s="42"/>
      <c r="B35" s="53"/>
      <c r="C35" s="72"/>
      <c r="D35" s="39"/>
      <c r="E35" s="40"/>
    </row>
    <row r="36" spans="1:5" s="44" customFormat="1" ht="20.25" customHeight="1" x14ac:dyDescent="0.25">
      <c r="A36" s="42"/>
      <c r="B36" s="71"/>
      <c r="C36" s="72"/>
      <c r="D36" s="39"/>
      <c r="E36" s="40"/>
    </row>
    <row r="37" spans="1:5" s="44" customFormat="1" ht="20.25" customHeight="1" x14ac:dyDescent="0.25">
      <c r="A37" s="42"/>
      <c r="B37" s="71"/>
      <c r="C37" s="72"/>
      <c r="D37" s="39"/>
      <c r="E37" s="40"/>
    </row>
    <row r="38" spans="1:5" s="44" customFormat="1" ht="20.25" customHeight="1" x14ac:dyDescent="0.25">
      <c r="A38" s="42"/>
      <c r="B38" s="71"/>
      <c r="C38" s="72"/>
      <c r="D38" s="39"/>
      <c r="E38" s="40"/>
    </row>
    <row r="39" spans="1:5" s="44" customFormat="1" ht="20.25" customHeight="1" x14ac:dyDescent="0.25">
      <c r="A39" s="42"/>
      <c r="B39" s="71"/>
      <c r="C39" s="72"/>
      <c r="D39" s="39"/>
      <c r="E39" s="40"/>
    </row>
    <row r="40" spans="1:5" s="44" customFormat="1" ht="20.25" customHeight="1" x14ac:dyDescent="0.25">
      <c r="A40" s="42"/>
      <c r="B40" s="71"/>
      <c r="C40" s="72"/>
      <c r="D40" s="39"/>
      <c r="E40" s="40"/>
    </row>
    <row r="41" spans="1:5" s="44" customFormat="1" ht="20.25" customHeight="1" x14ac:dyDescent="0.25">
      <c r="A41" s="42"/>
      <c r="B41" s="71"/>
      <c r="C41" s="72"/>
      <c r="D41" s="39"/>
      <c r="E41" s="40"/>
    </row>
    <row r="42" spans="1:5" s="44" customFormat="1" ht="20.25" customHeight="1" x14ac:dyDescent="0.25">
      <c r="A42" s="42"/>
      <c r="B42" s="71"/>
      <c r="C42" s="72"/>
      <c r="D42" s="39"/>
      <c r="E42" s="40"/>
    </row>
    <row r="43" spans="1:5" s="44" customFormat="1" ht="20.25" customHeight="1" x14ac:dyDescent="0.25">
      <c r="A43" s="42"/>
      <c r="B43" s="53"/>
      <c r="C43" s="72"/>
      <c r="D43" s="39"/>
      <c r="E43" s="47"/>
    </row>
    <row r="44" spans="1:5" s="44" customFormat="1" ht="20.25" customHeight="1" x14ac:dyDescent="0.25">
      <c r="A44" s="42"/>
      <c r="B44" s="71"/>
      <c r="C44" s="72"/>
      <c r="D44" s="39"/>
      <c r="E44" s="40"/>
    </row>
    <row r="45" spans="1:5" s="44" customFormat="1" ht="20.25" customHeight="1" x14ac:dyDescent="0.25">
      <c r="A45" s="42"/>
      <c r="B45" s="71"/>
      <c r="C45" s="72"/>
      <c r="D45" s="39"/>
      <c r="E45" s="40"/>
    </row>
    <row r="46" spans="1:5" s="44" customFormat="1" ht="20.25" customHeight="1" x14ac:dyDescent="0.25">
      <c r="A46" s="42"/>
      <c r="B46" s="71"/>
      <c r="C46" s="72"/>
      <c r="D46" s="39"/>
      <c r="E46" s="40"/>
    </row>
    <row r="47" spans="1:5" s="44" customFormat="1" ht="20.25" customHeight="1" x14ac:dyDescent="0.25">
      <c r="A47" s="42"/>
      <c r="B47" s="71"/>
      <c r="C47" s="72"/>
      <c r="D47" s="39"/>
      <c r="E47" s="40"/>
    </row>
    <row r="48" spans="1:5" s="44" customFormat="1" ht="20.25" customHeight="1" x14ac:dyDescent="0.25">
      <c r="A48" s="42"/>
      <c r="B48" s="71"/>
      <c r="C48" s="72"/>
      <c r="D48" s="39"/>
      <c r="E48" s="40"/>
    </row>
    <row r="49" spans="1:5" s="44" customFormat="1" ht="20.25" customHeight="1" x14ac:dyDescent="0.25">
      <c r="A49" s="42"/>
      <c r="B49" s="71"/>
      <c r="C49" s="72"/>
      <c r="D49" s="39"/>
      <c r="E49" s="40"/>
    </row>
    <row r="50" spans="1:5" s="44" customFormat="1" ht="20.25" customHeight="1" x14ac:dyDescent="0.25">
      <c r="A50" s="42"/>
      <c r="B50" s="71"/>
      <c r="C50" s="72"/>
      <c r="D50" s="39"/>
      <c r="E50" s="40"/>
    </row>
    <row r="51" spans="1:5" s="44" customFormat="1" ht="20.25" customHeight="1" x14ac:dyDescent="0.25">
      <c r="A51" s="42"/>
      <c r="B51" s="53"/>
      <c r="C51" s="74"/>
      <c r="D51" s="39"/>
      <c r="E51" s="40"/>
    </row>
    <row r="52" spans="1:5" s="44" customFormat="1" ht="20.25" customHeight="1" x14ac:dyDescent="0.25">
      <c r="A52" s="42"/>
      <c r="B52" s="71"/>
      <c r="C52" s="72"/>
      <c r="D52" s="39"/>
      <c r="E52" s="40"/>
    </row>
    <row r="53" spans="1:5" s="44" customFormat="1" ht="20.25" customHeight="1" x14ac:dyDescent="0.25">
      <c r="A53" s="42"/>
      <c r="B53" s="71"/>
      <c r="C53" s="72"/>
      <c r="D53" s="39"/>
      <c r="E53" s="40"/>
    </row>
    <row r="54" spans="1:5" s="44" customFormat="1" ht="20.25" customHeight="1" x14ac:dyDescent="0.25">
      <c r="A54" s="42"/>
      <c r="B54" s="71"/>
      <c r="C54" s="72"/>
      <c r="D54" s="39"/>
      <c r="E54" s="40"/>
    </row>
    <row r="55" spans="1:5" s="44" customFormat="1" ht="20.25" customHeight="1" x14ac:dyDescent="0.25">
      <c r="A55" s="42"/>
      <c r="B55" s="71"/>
      <c r="C55" s="72"/>
      <c r="D55" s="39"/>
      <c r="E55" s="40"/>
    </row>
    <row r="56" spans="1:5" s="44" customFormat="1" ht="20.25" customHeight="1" x14ac:dyDescent="0.25">
      <c r="A56" s="42"/>
      <c r="B56" s="71"/>
      <c r="C56" s="72"/>
      <c r="D56" s="39"/>
      <c r="E56" s="40"/>
    </row>
    <row r="57" spans="1:5" s="44" customFormat="1" ht="20.25" customHeight="1" x14ac:dyDescent="0.25">
      <c r="A57" s="42"/>
      <c r="B57" s="71"/>
      <c r="C57" s="72"/>
      <c r="D57" s="39"/>
      <c r="E57" s="40"/>
    </row>
    <row r="58" spans="1:5" s="44" customFormat="1" ht="20.25" customHeight="1" x14ac:dyDescent="0.25">
      <c r="A58" s="42"/>
      <c r="B58" s="71"/>
      <c r="C58" s="72"/>
      <c r="D58" s="39"/>
      <c r="E58" s="40"/>
    </row>
    <row r="59" spans="1:5" s="44" customFormat="1" ht="20.25" customHeight="1" x14ac:dyDescent="0.25">
      <c r="A59" s="42"/>
      <c r="B59" s="71"/>
      <c r="C59" s="72"/>
      <c r="D59" s="39"/>
      <c r="E59" s="40"/>
    </row>
    <row r="60" spans="1:5" s="44" customFormat="1" ht="20.25" customHeight="1" x14ac:dyDescent="0.25">
      <c r="A60" s="42"/>
      <c r="B60" s="71"/>
      <c r="C60" s="72"/>
      <c r="D60" s="39"/>
      <c r="E60" s="40"/>
    </row>
    <row r="61" spans="1:5" s="44" customFormat="1" ht="20.25" customHeight="1" x14ac:dyDescent="0.25">
      <c r="A61" s="42"/>
      <c r="B61" s="71"/>
      <c r="C61" s="72"/>
      <c r="D61" s="39"/>
      <c r="E61" s="40"/>
    </row>
    <row r="62" spans="1:5" s="41" customFormat="1" ht="20.25" customHeight="1" x14ac:dyDescent="0.25">
      <c r="A62" s="42"/>
      <c r="B62" s="71"/>
      <c r="C62" s="72"/>
      <c r="D62" s="39"/>
      <c r="E62" s="40"/>
    </row>
    <row r="63" spans="1:5" s="41" customFormat="1" ht="20.25" customHeight="1" x14ac:dyDescent="0.25">
      <c r="A63" s="42"/>
      <c r="B63" s="71"/>
      <c r="C63" s="72"/>
      <c r="D63" s="39"/>
      <c r="E63" s="40"/>
    </row>
    <row r="64" spans="1:5" s="41" customFormat="1" ht="20.25" customHeight="1" x14ac:dyDescent="0.25">
      <c r="A64" s="42"/>
      <c r="B64" s="71"/>
      <c r="C64" s="72"/>
      <c r="D64" s="39"/>
      <c r="E64" s="40"/>
    </row>
    <row r="65" spans="1:5" s="41" customFormat="1" ht="20.25" customHeight="1" x14ac:dyDescent="0.25">
      <c r="A65" s="42"/>
      <c r="B65" s="71"/>
      <c r="C65" s="72"/>
      <c r="D65" s="39"/>
      <c r="E65" s="40"/>
    </row>
    <row r="66" spans="1:5" s="41" customFormat="1" ht="20.25" customHeight="1" x14ac:dyDescent="0.25">
      <c r="A66" s="42"/>
      <c r="B66" s="71"/>
      <c r="C66" s="72"/>
      <c r="D66" s="39"/>
      <c r="E66" s="40"/>
    </row>
    <row r="67" spans="1:5" s="41" customFormat="1" ht="20.25" customHeight="1" x14ac:dyDescent="0.25">
      <c r="A67" s="42"/>
      <c r="B67" s="71"/>
      <c r="C67" s="72"/>
      <c r="D67" s="39"/>
      <c r="E67" s="40"/>
    </row>
    <row r="68" spans="1:5" s="44" customFormat="1" ht="20.25" customHeight="1" x14ac:dyDescent="0.25">
      <c r="A68" s="42"/>
      <c r="B68" s="71"/>
      <c r="C68" s="72"/>
      <c r="D68" s="39"/>
      <c r="E68" s="40"/>
    </row>
    <row r="69" spans="1:5" s="44" customFormat="1" ht="20.25" customHeight="1" x14ac:dyDescent="0.25">
      <c r="A69" s="42"/>
      <c r="B69" s="71"/>
      <c r="C69" s="72"/>
      <c r="D69" s="39"/>
      <c r="E69" s="40"/>
    </row>
    <row r="70" spans="1:5" s="44" customFormat="1" ht="20.25" customHeight="1" x14ac:dyDescent="0.25">
      <c r="A70" s="42"/>
      <c r="B70" s="71"/>
      <c r="C70" s="72"/>
      <c r="D70" s="39"/>
      <c r="E70" s="40"/>
    </row>
    <row r="71" spans="1:5" s="44" customFormat="1" ht="20.25" customHeight="1" x14ac:dyDescent="0.25">
      <c r="A71" s="42"/>
      <c r="B71" s="71"/>
      <c r="C71" s="72"/>
      <c r="D71" s="39"/>
      <c r="E71" s="40"/>
    </row>
    <row r="72" spans="1:5" s="44" customFormat="1" ht="20.25" customHeight="1" x14ac:dyDescent="0.25">
      <c r="A72" s="42"/>
      <c r="B72" s="71"/>
      <c r="C72" s="72"/>
      <c r="D72" s="39"/>
      <c r="E72" s="40"/>
    </row>
    <row r="73" spans="1:5" s="44" customFormat="1" ht="20.25" customHeight="1" x14ac:dyDescent="0.25">
      <c r="A73" s="42"/>
      <c r="B73" s="71"/>
      <c r="C73" s="72"/>
      <c r="D73" s="39"/>
      <c r="E73" s="40"/>
    </row>
    <row r="74" spans="1:5" s="44" customFormat="1" ht="20.25" customHeight="1" x14ac:dyDescent="0.25">
      <c r="A74" s="42"/>
      <c r="B74" s="71"/>
      <c r="C74" s="72"/>
      <c r="D74" s="39"/>
      <c r="E74" s="40"/>
    </row>
    <row r="75" spans="1:5" s="44" customFormat="1" ht="20.25" customHeight="1" x14ac:dyDescent="0.25">
      <c r="A75" s="42"/>
      <c r="B75" s="71"/>
      <c r="C75" s="72"/>
      <c r="D75" s="39"/>
      <c r="E75" s="40"/>
    </row>
    <row r="76" spans="1:5" s="44" customFormat="1" ht="20.25" customHeight="1" x14ac:dyDescent="0.25">
      <c r="A76" s="42"/>
      <c r="B76" s="71"/>
      <c r="C76" s="72"/>
      <c r="D76" s="39"/>
      <c r="E76" s="40"/>
    </row>
    <row r="77" spans="1:5" s="44" customFormat="1" ht="20.25" customHeight="1" x14ac:dyDescent="0.25">
      <c r="A77" s="42"/>
      <c r="B77" s="71"/>
      <c r="C77" s="72"/>
      <c r="D77" s="39"/>
      <c r="E77" s="40"/>
    </row>
    <row r="78" spans="1:5" s="41" customFormat="1" ht="20.25" customHeight="1" x14ac:dyDescent="0.25">
      <c r="A78" s="42"/>
      <c r="B78" s="53"/>
      <c r="C78" s="72"/>
      <c r="D78" s="39"/>
      <c r="E78" s="40"/>
    </row>
    <row r="79" spans="1:5" s="44" customFormat="1" ht="20.25" customHeight="1" x14ac:dyDescent="0.25">
      <c r="A79" s="42"/>
      <c r="B79" s="71"/>
      <c r="C79" s="72"/>
      <c r="D79" s="39"/>
      <c r="E79" s="40"/>
    </row>
    <row r="80" spans="1:5" s="44" customFormat="1" ht="20.25" customHeight="1" x14ac:dyDescent="0.25">
      <c r="A80" s="42"/>
      <c r="B80" s="71"/>
      <c r="C80" s="72"/>
      <c r="D80" s="39"/>
      <c r="E80" s="40"/>
    </row>
    <row r="81" spans="1:5" s="44" customFormat="1" ht="20.25" customHeight="1" x14ac:dyDescent="0.25">
      <c r="A81" s="42"/>
      <c r="B81" s="71"/>
      <c r="C81" s="72"/>
      <c r="D81" s="39"/>
      <c r="E81" s="40"/>
    </row>
    <row r="82" spans="1:5" s="44" customFormat="1" ht="20.25" customHeight="1" x14ac:dyDescent="0.25">
      <c r="A82" s="42"/>
      <c r="B82" s="71"/>
      <c r="C82" s="72"/>
      <c r="D82" s="39"/>
      <c r="E82" s="40"/>
    </row>
    <row r="83" spans="1:5" s="44" customFormat="1" ht="20.25" customHeight="1" x14ac:dyDescent="0.25">
      <c r="A83" s="42"/>
      <c r="B83" s="71"/>
      <c r="C83" s="72"/>
      <c r="D83" s="39"/>
      <c r="E83" s="40"/>
    </row>
    <row r="84" spans="1:5" s="44" customFormat="1" ht="20.25" customHeight="1" x14ac:dyDescent="0.25">
      <c r="A84" s="42"/>
      <c r="B84" s="71"/>
      <c r="C84" s="72"/>
      <c r="D84" s="39"/>
      <c r="E84" s="40"/>
    </row>
    <row r="85" spans="1:5" s="44" customFormat="1" ht="20.25" customHeight="1" x14ac:dyDescent="0.25">
      <c r="A85" s="42"/>
      <c r="B85" s="71"/>
      <c r="C85" s="72"/>
      <c r="D85" s="39"/>
      <c r="E85" s="40"/>
    </row>
    <row r="86" spans="1:5" s="44" customFormat="1" ht="20.25" customHeight="1" x14ac:dyDescent="0.25">
      <c r="A86" s="42"/>
      <c r="B86" s="71"/>
      <c r="C86" s="72"/>
      <c r="D86" s="39"/>
      <c r="E86" s="40"/>
    </row>
    <row r="87" spans="1:5" s="44" customFormat="1" ht="20.25" customHeight="1" x14ac:dyDescent="0.25">
      <c r="A87" s="42"/>
      <c r="B87" s="71"/>
      <c r="C87" s="72"/>
      <c r="D87" s="39"/>
      <c r="E87" s="40"/>
    </row>
    <row r="88" spans="1:5" s="44" customFormat="1" ht="20.25" customHeight="1" x14ac:dyDescent="0.25">
      <c r="A88" s="42"/>
      <c r="B88" s="71"/>
      <c r="C88" s="72"/>
      <c r="D88" s="39"/>
      <c r="E88" s="40"/>
    </row>
    <row r="89" spans="1:5" s="44" customFormat="1" ht="20.25" customHeight="1" x14ac:dyDescent="0.25">
      <c r="A89" s="42"/>
      <c r="B89" s="71"/>
      <c r="C89" s="72"/>
      <c r="D89" s="39"/>
      <c r="E89" s="40"/>
    </row>
    <row r="90" spans="1:5" s="44" customFormat="1" ht="20.25" customHeight="1" x14ac:dyDescent="0.25">
      <c r="A90" s="42"/>
      <c r="B90" s="71"/>
      <c r="C90" s="72"/>
      <c r="D90" s="39"/>
      <c r="E90" s="40"/>
    </row>
    <row r="91" spans="1:5" s="44" customFormat="1" ht="20.25" customHeight="1" x14ac:dyDescent="0.25">
      <c r="A91" s="42"/>
      <c r="B91" s="71"/>
      <c r="C91" s="72"/>
      <c r="D91" s="39"/>
      <c r="E91" s="40"/>
    </row>
    <row r="92" spans="1:5" s="44" customFormat="1" ht="20.25" customHeight="1" x14ac:dyDescent="0.25">
      <c r="A92" s="42"/>
      <c r="B92" s="71"/>
      <c r="C92" s="72"/>
      <c r="D92" s="39"/>
      <c r="E92" s="40"/>
    </row>
    <row r="93" spans="1:5" s="44" customFormat="1" ht="20.25" customHeight="1" x14ac:dyDescent="0.25">
      <c r="A93" s="42"/>
      <c r="B93" s="53"/>
      <c r="C93" s="72"/>
      <c r="D93" s="39"/>
      <c r="E93" s="40"/>
    </row>
    <row r="94" spans="1:5" s="44" customFormat="1" ht="20.25" customHeight="1" x14ac:dyDescent="0.25">
      <c r="A94" s="42"/>
      <c r="B94" s="71"/>
      <c r="C94" s="72"/>
      <c r="D94" s="39"/>
      <c r="E94" s="40"/>
    </row>
    <row r="95" spans="1:5" s="44" customFormat="1" ht="20.25" customHeight="1" x14ac:dyDescent="0.25">
      <c r="A95" s="42"/>
      <c r="B95" s="71"/>
      <c r="C95" s="72"/>
      <c r="D95" s="39"/>
      <c r="E95" s="40"/>
    </row>
    <row r="96" spans="1:5" s="44" customFormat="1" ht="20.25" customHeight="1" x14ac:dyDescent="0.25">
      <c r="A96" s="42"/>
      <c r="B96" s="71"/>
      <c r="C96" s="72"/>
      <c r="D96" s="39"/>
      <c r="E96" s="40"/>
    </row>
    <row r="97" spans="1:5" s="44" customFormat="1" ht="20.25" customHeight="1" x14ac:dyDescent="0.25">
      <c r="A97" s="42"/>
      <c r="B97" s="71"/>
      <c r="C97" s="72"/>
      <c r="D97" s="39"/>
      <c r="E97" s="40"/>
    </row>
    <row r="98" spans="1:5" s="44" customFormat="1" ht="20.25" customHeight="1" x14ac:dyDescent="0.25">
      <c r="A98" s="42"/>
      <c r="B98" s="71"/>
      <c r="C98" s="72"/>
      <c r="D98" s="39"/>
      <c r="E98" s="40"/>
    </row>
    <row r="99" spans="1:5" s="44" customFormat="1" ht="20.25" customHeight="1" x14ac:dyDescent="0.25">
      <c r="A99" s="42"/>
      <c r="B99" s="71"/>
      <c r="C99" s="75"/>
      <c r="D99" s="39"/>
      <c r="E99" s="40"/>
    </row>
    <row r="100" spans="1:5" s="44" customFormat="1" ht="20.25" customHeight="1" x14ac:dyDescent="0.25">
      <c r="A100" s="42"/>
      <c r="B100" s="71"/>
      <c r="C100" s="72"/>
      <c r="D100" s="39"/>
      <c r="E100" s="40"/>
    </row>
    <row r="101" spans="1:5" s="41" customFormat="1" ht="20.25" customHeight="1" x14ac:dyDescent="0.25">
      <c r="A101" s="42"/>
      <c r="B101" s="71"/>
      <c r="C101" s="72"/>
      <c r="D101" s="39"/>
      <c r="E101" s="40"/>
    </row>
    <row r="102" spans="1:5" s="44" customFormat="1" ht="20.25" customHeight="1" x14ac:dyDescent="0.25">
      <c r="A102" s="42"/>
      <c r="B102" s="71"/>
      <c r="C102" s="72"/>
      <c r="D102" s="39"/>
      <c r="E102" s="40"/>
    </row>
    <row r="103" spans="1:5" s="44" customFormat="1" ht="20.25" customHeight="1" x14ac:dyDescent="0.25">
      <c r="A103" s="42"/>
      <c r="B103" s="71"/>
      <c r="C103" s="72"/>
      <c r="D103" s="39"/>
      <c r="E103" s="40"/>
    </row>
    <row r="104" spans="1:5" s="44" customFormat="1" ht="20.25" customHeight="1" x14ac:dyDescent="0.25">
      <c r="A104" s="42"/>
      <c r="B104" s="71"/>
      <c r="C104" s="72"/>
      <c r="D104" s="39"/>
      <c r="E104" s="40"/>
    </row>
    <row r="105" spans="1:5" s="44" customFormat="1" ht="20.25" customHeight="1" x14ac:dyDescent="0.25">
      <c r="A105" s="42"/>
      <c r="B105" s="71"/>
      <c r="C105" s="72"/>
      <c r="D105" s="39"/>
      <c r="E105" s="40"/>
    </row>
    <row r="106" spans="1:5" s="44" customFormat="1" ht="20.25" customHeight="1" x14ac:dyDescent="0.25">
      <c r="A106" s="42"/>
      <c r="B106" s="71"/>
      <c r="C106" s="72"/>
      <c r="D106" s="39"/>
      <c r="E106" s="40"/>
    </row>
    <row r="107" spans="1:5" s="44" customFormat="1" ht="20.25" customHeight="1" x14ac:dyDescent="0.25">
      <c r="A107" s="48"/>
      <c r="B107" s="71"/>
      <c r="C107" s="72"/>
      <c r="D107" s="39"/>
      <c r="E107" s="40"/>
    </row>
    <row r="108" spans="1:5" s="44" customFormat="1" ht="20.25" customHeight="1" x14ac:dyDescent="0.25">
      <c r="A108" s="42"/>
      <c r="B108" s="71"/>
      <c r="C108" s="72"/>
      <c r="D108" s="39"/>
      <c r="E108" s="40"/>
    </row>
    <row r="109" spans="1:5" s="44" customFormat="1" ht="20.25" customHeight="1" x14ac:dyDescent="0.25">
      <c r="A109" s="42"/>
      <c r="B109" s="71"/>
      <c r="C109" s="72"/>
      <c r="D109" s="39"/>
      <c r="E109" s="40"/>
    </row>
    <row r="110" spans="1:5" s="44" customFormat="1" ht="20.25" customHeight="1" x14ac:dyDescent="0.25">
      <c r="A110" s="49"/>
      <c r="B110" s="71"/>
      <c r="C110" s="72"/>
      <c r="D110" s="39"/>
      <c r="E110" s="40"/>
    </row>
    <row r="111" spans="1:5" s="44" customFormat="1" ht="20.25" customHeight="1" x14ac:dyDescent="0.25">
      <c r="A111" s="42"/>
      <c r="B111" s="71"/>
      <c r="C111" s="72"/>
      <c r="D111" s="39"/>
      <c r="E111" s="40"/>
    </row>
    <row r="112" spans="1:5" s="44" customFormat="1" ht="20.25" customHeight="1" x14ac:dyDescent="0.25">
      <c r="A112" s="42"/>
      <c r="B112" s="71"/>
      <c r="C112" s="72"/>
      <c r="D112" s="39"/>
      <c r="E112" s="40"/>
    </row>
    <row r="113" spans="1:5" s="44" customFormat="1" ht="20.25" customHeight="1" x14ac:dyDescent="0.25">
      <c r="A113" s="42"/>
      <c r="B113" s="71"/>
      <c r="C113" s="72"/>
      <c r="D113" s="39"/>
      <c r="E113" s="40"/>
    </row>
    <row r="114" spans="1:5" s="44" customFormat="1" ht="20.25" customHeight="1" x14ac:dyDescent="0.25">
      <c r="A114" s="42"/>
      <c r="B114" s="71"/>
      <c r="C114" s="72"/>
      <c r="D114" s="39"/>
      <c r="E114" s="40"/>
    </row>
    <row r="115" spans="1:5" s="44" customFormat="1" ht="20.25" customHeight="1" x14ac:dyDescent="0.25">
      <c r="A115" s="42"/>
      <c r="B115" s="71"/>
      <c r="C115" s="72"/>
      <c r="D115" s="39"/>
      <c r="E115" s="40"/>
    </row>
    <row r="116" spans="1:5" s="44" customFormat="1" ht="20.25" customHeight="1" x14ac:dyDescent="0.25">
      <c r="A116" s="42"/>
      <c r="B116" s="71"/>
      <c r="C116" s="72"/>
      <c r="D116" s="39"/>
      <c r="E116" s="40"/>
    </row>
    <row r="117" spans="1:5" s="44" customFormat="1" ht="20.25" customHeight="1" x14ac:dyDescent="0.25">
      <c r="A117" s="42"/>
      <c r="B117" s="71"/>
      <c r="C117" s="72"/>
      <c r="D117" s="39"/>
      <c r="E117" s="40"/>
    </row>
    <row r="118" spans="1:5" s="44" customFormat="1" ht="20.25" customHeight="1" x14ac:dyDescent="0.25">
      <c r="A118" s="42"/>
      <c r="B118" s="71"/>
      <c r="C118" s="72"/>
      <c r="D118" s="39"/>
      <c r="E118" s="40"/>
    </row>
    <row r="119" spans="1:5" s="44" customFormat="1" ht="20.25" customHeight="1" x14ac:dyDescent="0.25">
      <c r="A119" s="42"/>
      <c r="B119" s="76"/>
      <c r="C119" s="77"/>
      <c r="D119" s="39"/>
      <c r="E119" s="40"/>
    </row>
    <row r="120" spans="1:5" s="44" customFormat="1" ht="20.25" customHeight="1" x14ac:dyDescent="0.25">
      <c r="A120" s="42"/>
      <c r="B120" s="71"/>
      <c r="C120" s="72"/>
      <c r="D120" s="39"/>
      <c r="E120" s="40"/>
    </row>
    <row r="121" spans="1:5" s="44" customFormat="1" ht="20.25" customHeight="1" x14ac:dyDescent="0.25">
      <c r="A121" s="42"/>
      <c r="B121" s="71"/>
      <c r="C121" s="74"/>
      <c r="D121" s="39"/>
      <c r="E121" s="40"/>
    </row>
    <row r="122" spans="1:5" s="44" customFormat="1" ht="20.25" customHeight="1" x14ac:dyDescent="0.25">
      <c r="A122" s="42"/>
      <c r="B122" s="53"/>
      <c r="C122" s="72"/>
      <c r="D122" s="39"/>
      <c r="E122" s="40"/>
    </row>
    <row r="123" spans="1:5" s="44" customFormat="1" ht="20.25" customHeight="1" x14ac:dyDescent="0.25">
      <c r="A123" s="42"/>
      <c r="B123" s="71"/>
      <c r="C123" s="72"/>
      <c r="D123" s="39"/>
      <c r="E123" s="40"/>
    </row>
    <row r="124" spans="1:5" s="44" customFormat="1" ht="20.25" customHeight="1" x14ac:dyDescent="0.25">
      <c r="A124" s="42"/>
      <c r="B124" s="71"/>
      <c r="C124" s="72"/>
      <c r="D124" s="39"/>
      <c r="E124" s="40"/>
    </row>
    <row r="125" spans="1:5" s="44" customFormat="1" ht="20.25" customHeight="1" x14ac:dyDescent="0.25">
      <c r="A125" s="42"/>
      <c r="B125" s="71"/>
      <c r="C125" s="72"/>
    </row>
    <row r="126" spans="1:5" s="44" customFormat="1" ht="20.25" customHeight="1" x14ac:dyDescent="0.25">
      <c r="C126" s="50"/>
    </row>
    <row r="127" spans="1:5" ht="20.25" customHeight="1" x14ac:dyDescent="0.2"/>
    <row r="128" spans="1:5" s="41" customFormat="1" ht="20.25" customHeight="1" x14ac:dyDescent="0.25">
      <c r="D128" s="44"/>
      <c r="E128" s="44"/>
    </row>
    <row r="129" spans="4:5" s="44" customFormat="1" ht="20.25" customHeight="1" x14ac:dyDescent="0.25">
      <c r="D129" s="51"/>
      <c r="E129" s="52"/>
    </row>
    <row r="130" spans="4:5" s="44" customFormat="1" ht="20.25" customHeight="1" x14ac:dyDescent="0.25">
      <c r="D130" s="51"/>
      <c r="E130" s="52"/>
    </row>
    <row r="131" spans="4:5" s="41" customFormat="1" ht="20.25" customHeight="1" x14ac:dyDescent="0.25">
      <c r="D131" s="51"/>
      <c r="E131" s="52"/>
    </row>
    <row r="132" spans="4:5" s="41" customFormat="1" ht="20.25" customHeight="1" x14ac:dyDescent="0.25">
      <c r="D132" s="51"/>
      <c r="E132" s="52"/>
    </row>
    <row r="133" spans="4:5" s="44" customFormat="1" ht="20.25" customHeight="1" x14ac:dyDescent="0.25">
      <c r="D133" s="51"/>
      <c r="E133" s="52"/>
    </row>
    <row r="134" spans="4:5" s="44" customFormat="1" ht="20.25" customHeight="1" x14ac:dyDescent="0.25">
      <c r="D134" s="51"/>
      <c r="E134" s="52"/>
    </row>
    <row r="135" spans="4:5" s="41" customFormat="1" ht="20.25" customHeight="1" x14ac:dyDescent="0.25">
      <c r="D135" s="51"/>
      <c r="E135" s="52"/>
    </row>
    <row r="136" spans="4:5" s="41" customFormat="1" ht="20.25" customHeight="1" x14ac:dyDescent="0.25">
      <c r="D136" s="51"/>
      <c r="E136" s="52"/>
    </row>
    <row r="137" spans="4:5" s="41" customFormat="1" ht="20.25" customHeight="1" x14ac:dyDescent="0.25">
      <c r="D137" s="51"/>
      <c r="E137" s="52"/>
    </row>
    <row r="138" spans="4:5" s="41" customFormat="1" ht="20.25" customHeight="1" x14ac:dyDescent="0.25">
      <c r="D138" s="51"/>
      <c r="E138" s="52"/>
    </row>
    <row r="139" spans="4:5" s="44" customFormat="1" ht="20.25" customHeight="1" x14ac:dyDescent="0.25">
      <c r="D139" s="51"/>
      <c r="E139" s="52"/>
    </row>
    <row r="140" spans="4:5" s="41" customFormat="1" ht="20.25" customHeight="1" x14ac:dyDescent="0.25">
      <c r="D140" s="51"/>
      <c r="E140" s="52"/>
    </row>
    <row r="141" spans="4:5" s="41" customFormat="1" ht="20.25" customHeight="1" x14ac:dyDescent="0.25">
      <c r="D141" s="51"/>
      <c r="E141" s="52"/>
    </row>
    <row r="142" spans="4:5" s="44" customFormat="1" ht="20.25" customHeight="1" x14ac:dyDescent="0.25">
      <c r="D142" s="51"/>
      <c r="E142" s="52"/>
    </row>
    <row r="143" spans="4:5" s="44" customFormat="1" ht="20.25" customHeight="1" x14ac:dyDescent="0.25">
      <c r="D143" s="51"/>
      <c r="E143" s="52"/>
    </row>
    <row r="144" spans="4:5" s="44" customFormat="1" ht="20.25" customHeight="1" x14ac:dyDescent="0.25">
      <c r="D144" s="51"/>
      <c r="E144" s="52"/>
    </row>
    <row r="145" spans="4:5" s="44" customFormat="1" ht="20.25" customHeight="1" x14ac:dyDescent="0.25">
      <c r="D145" s="51"/>
      <c r="E145" s="52"/>
    </row>
    <row r="146" spans="4:5" s="44" customFormat="1" ht="20.25" customHeight="1" x14ac:dyDescent="0.25">
      <c r="D146" s="51"/>
      <c r="E146" s="52"/>
    </row>
    <row r="147" spans="4:5" s="41" customFormat="1" ht="20.25" customHeight="1" x14ac:dyDescent="0.25">
      <c r="D147" s="51"/>
      <c r="E147" s="52"/>
    </row>
    <row r="148" spans="4:5" s="44" customFormat="1" ht="20.25" customHeight="1" x14ac:dyDescent="0.25">
      <c r="D148" s="51"/>
      <c r="E148" s="52"/>
    </row>
    <row r="149" spans="4:5" s="41" customFormat="1" ht="20.25" customHeight="1" x14ac:dyDescent="0.25">
      <c r="D149" s="51"/>
      <c r="E149" s="52"/>
    </row>
    <row r="150" spans="4:5" s="41" customFormat="1" ht="20.25" customHeight="1" x14ac:dyDescent="0.25">
      <c r="D150" s="51"/>
      <c r="E150" s="52"/>
    </row>
    <row r="151" spans="4:5" s="44" customFormat="1" ht="20.25" customHeight="1" x14ac:dyDescent="0.25">
      <c r="D151" s="51"/>
      <c r="E151" s="52"/>
    </row>
    <row r="152" spans="4:5" s="41" customFormat="1" ht="20.25" customHeight="1" x14ac:dyDescent="0.25">
      <c r="D152" s="51"/>
      <c r="E152" s="52"/>
    </row>
    <row r="153" spans="4:5" s="41" customFormat="1" ht="20.25" customHeight="1" x14ac:dyDescent="0.25">
      <c r="D153" s="51"/>
      <c r="E153" s="52"/>
    </row>
    <row r="154" spans="4:5" s="41" customFormat="1" ht="20.25" customHeight="1" x14ac:dyDescent="0.25">
      <c r="D154" s="51"/>
      <c r="E154" s="52"/>
    </row>
    <row r="155" spans="4:5" s="44" customFormat="1" ht="20.25" customHeight="1" x14ac:dyDescent="0.25">
      <c r="D155" s="51"/>
      <c r="E155" s="52"/>
    </row>
    <row r="156" spans="4:5" s="41" customFormat="1" ht="20.25" customHeight="1" x14ac:dyDescent="0.25">
      <c r="D156" s="51"/>
      <c r="E156" s="52"/>
    </row>
    <row r="157" spans="4:5" s="41" customFormat="1" ht="20.25" customHeight="1" x14ac:dyDescent="0.25">
      <c r="D157" s="51"/>
      <c r="E157" s="52"/>
    </row>
    <row r="158" spans="4:5" s="44" customFormat="1" ht="20.25" customHeight="1" x14ac:dyDescent="0.25">
      <c r="D158" s="51"/>
      <c r="E158" s="52"/>
    </row>
    <row r="159" spans="4:5" s="44" customFormat="1" ht="20.25" customHeight="1" x14ac:dyDescent="0.25">
      <c r="D159" s="51"/>
      <c r="E159" s="52"/>
    </row>
    <row r="160" spans="4:5" s="41" customFormat="1" ht="20.25" customHeight="1" x14ac:dyDescent="0.25">
      <c r="D160" s="51"/>
      <c r="E160" s="52"/>
    </row>
    <row r="161" spans="4:5" s="41" customFormat="1" ht="20.25" customHeight="1" x14ac:dyDescent="0.25">
      <c r="D161" s="51"/>
      <c r="E161" s="52"/>
    </row>
    <row r="162" spans="4:5" s="41" customFormat="1" ht="20.25" customHeight="1" x14ac:dyDescent="0.25">
      <c r="D162" s="51"/>
      <c r="E162" s="52"/>
    </row>
    <row r="163" spans="4:5" s="41" customFormat="1" ht="20.25" customHeight="1" x14ac:dyDescent="0.25">
      <c r="D163" s="51"/>
      <c r="E163" s="52"/>
    </row>
    <row r="164" spans="4:5" s="41" customFormat="1" ht="20.25" customHeight="1" x14ac:dyDescent="0.25">
      <c r="D164" s="51"/>
      <c r="E164" s="52"/>
    </row>
    <row r="165" spans="4:5" s="44" customFormat="1" ht="20.25" customHeight="1" x14ac:dyDescent="0.25">
      <c r="D165" s="51"/>
      <c r="E165" s="52"/>
    </row>
    <row r="166" spans="4:5" s="44" customFormat="1" ht="20.25" customHeight="1" x14ac:dyDescent="0.25">
      <c r="D166" s="51"/>
      <c r="E166" s="52"/>
    </row>
    <row r="167" spans="4:5" s="44" customFormat="1" ht="20.25" customHeight="1" x14ac:dyDescent="0.25">
      <c r="D167" s="51"/>
      <c r="E167" s="52"/>
    </row>
    <row r="168" spans="4:5" s="44" customFormat="1" ht="20.25" customHeight="1" x14ac:dyDescent="0.25">
      <c r="D168" s="51"/>
      <c r="E168" s="52"/>
    </row>
    <row r="169" spans="4:5" s="44" customFormat="1" ht="20.25" customHeight="1" x14ac:dyDescent="0.25">
      <c r="D169" s="51"/>
      <c r="E169" s="52"/>
    </row>
    <row r="170" spans="4:5" s="44" customFormat="1" ht="20.25" customHeight="1" x14ac:dyDescent="0.25">
      <c r="D170" s="51"/>
      <c r="E170" s="52"/>
    </row>
    <row r="171" spans="4:5" s="44" customFormat="1" ht="20.25" customHeight="1" x14ac:dyDescent="0.25">
      <c r="D171" s="51"/>
      <c r="E171" s="52"/>
    </row>
    <row r="172" spans="4:5" s="44" customFormat="1" ht="20.25" customHeight="1" x14ac:dyDescent="0.25">
      <c r="D172" s="51"/>
      <c r="E172" s="52"/>
    </row>
    <row r="173" spans="4:5" s="41" customFormat="1" ht="20.25" customHeight="1" x14ac:dyDescent="0.25">
      <c r="D173" s="51"/>
      <c r="E173" s="52"/>
    </row>
    <row r="174" spans="4:5" s="44" customFormat="1" ht="20.25" customHeight="1" x14ac:dyDescent="0.25">
      <c r="D174" s="51"/>
      <c r="E174" s="52"/>
    </row>
    <row r="175" spans="4:5" s="44" customFormat="1" ht="20.25" customHeight="1" x14ac:dyDescent="0.25">
      <c r="D175" s="51"/>
      <c r="E175" s="52"/>
    </row>
    <row r="176" spans="4:5" s="44" customFormat="1" ht="20.25" customHeight="1" x14ac:dyDescent="0.25">
      <c r="D176" s="51"/>
      <c r="E176" s="52"/>
    </row>
    <row r="177" spans="4:5" s="44" customFormat="1" ht="20.25" customHeight="1" x14ac:dyDescent="0.25">
      <c r="D177" s="51"/>
      <c r="E177" s="52"/>
    </row>
    <row r="178" spans="4:5" s="41" customFormat="1" ht="20.25" customHeight="1" x14ac:dyDescent="0.25">
      <c r="D178" s="51"/>
      <c r="E178" s="52"/>
    </row>
    <row r="179" spans="4:5" s="41" customFormat="1" ht="20.25" customHeight="1" x14ac:dyDescent="0.25">
      <c r="D179" s="51"/>
      <c r="E179" s="52"/>
    </row>
    <row r="180" spans="4:5" s="44" customFormat="1" ht="20.25" customHeight="1" x14ac:dyDescent="0.25">
      <c r="D180" s="51"/>
      <c r="E180" s="52"/>
    </row>
    <row r="181" spans="4:5" s="41" customFormat="1" ht="20.25" customHeight="1" x14ac:dyDescent="0.25">
      <c r="D181" s="51"/>
      <c r="E181" s="52"/>
    </row>
    <row r="182" spans="4:5" s="44" customFormat="1" ht="20.25" customHeight="1" x14ac:dyDescent="0.25">
      <c r="D182" s="51"/>
      <c r="E182" s="52"/>
    </row>
    <row r="183" spans="4:5" s="44" customFormat="1" ht="20.25" customHeight="1" x14ac:dyDescent="0.25">
      <c r="D183" s="51"/>
      <c r="E183" s="52"/>
    </row>
    <row r="184" spans="4:5" s="44" customFormat="1" ht="20.25" customHeight="1" x14ac:dyDescent="0.25">
      <c r="D184" s="51"/>
      <c r="E184" s="52"/>
    </row>
    <row r="185" spans="4:5" s="44" customFormat="1" ht="20.25" customHeight="1" x14ac:dyDescent="0.25">
      <c r="D185" s="51"/>
      <c r="E185" s="52"/>
    </row>
    <row r="186" spans="4:5" s="44" customFormat="1" ht="20.25" customHeight="1" x14ac:dyDescent="0.25">
      <c r="D186" s="51"/>
      <c r="E186" s="52"/>
    </row>
    <row r="187" spans="4:5" s="41" customFormat="1" ht="20.25" customHeight="1" x14ac:dyDescent="0.25">
      <c r="D187" s="51"/>
      <c r="E187" s="52"/>
    </row>
    <row r="188" spans="4:5" s="41" customFormat="1" ht="20.25" customHeight="1" x14ac:dyDescent="0.25">
      <c r="D188" s="51"/>
      <c r="E188" s="52"/>
    </row>
    <row r="189" spans="4:5" s="44" customFormat="1" ht="20.25" customHeight="1" x14ac:dyDescent="0.25">
      <c r="D189" s="51"/>
      <c r="E189" s="52"/>
    </row>
    <row r="190" spans="4:5" s="44" customFormat="1" ht="20.25" customHeight="1" x14ac:dyDescent="0.25">
      <c r="D190" s="51"/>
      <c r="E190" s="52"/>
    </row>
    <row r="191" spans="4:5" s="44" customFormat="1" ht="20.25" customHeight="1" x14ac:dyDescent="0.25">
      <c r="D191" s="51"/>
      <c r="E191" s="52"/>
    </row>
    <row r="192" spans="4:5" s="44" customFormat="1" ht="20.25" customHeight="1" x14ac:dyDescent="0.25">
      <c r="D192" s="51"/>
      <c r="E192" s="52"/>
    </row>
    <row r="193" spans="4:5" s="44" customFormat="1" ht="20.25" customHeight="1" x14ac:dyDescent="0.25">
      <c r="D193" s="51"/>
      <c r="E193" s="52"/>
    </row>
    <row r="194" spans="4:5" s="44" customFormat="1" ht="20.25" customHeight="1" x14ac:dyDescent="0.25">
      <c r="D194" s="51"/>
      <c r="E194" s="52"/>
    </row>
    <row r="195" spans="4:5" s="44" customFormat="1" ht="20.25" customHeight="1" x14ac:dyDescent="0.25">
      <c r="D195" s="51"/>
      <c r="E195" s="52"/>
    </row>
    <row r="196" spans="4:5" s="41" customFormat="1" ht="20.25" customHeight="1" x14ac:dyDescent="0.25">
      <c r="D196" s="51"/>
      <c r="E196" s="52"/>
    </row>
    <row r="197" spans="4:5" s="44" customFormat="1" ht="20.25" customHeight="1" x14ac:dyDescent="0.25">
      <c r="D197" s="51"/>
      <c r="E197" s="52"/>
    </row>
    <row r="198" spans="4:5" s="44" customFormat="1" ht="20.25" customHeight="1" x14ac:dyDescent="0.25">
      <c r="D198" s="51"/>
      <c r="E198" s="52"/>
    </row>
    <row r="199" spans="4:5" s="41" customFormat="1" ht="20.25" customHeight="1" x14ac:dyDescent="0.25">
      <c r="D199" s="51"/>
      <c r="E199" s="52"/>
    </row>
    <row r="200" spans="4:5" s="41" customFormat="1" ht="20.25" customHeight="1" x14ac:dyDescent="0.25">
      <c r="D200" s="51"/>
      <c r="E200" s="52"/>
    </row>
    <row r="201" spans="4:5" s="44" customFormat="1" ht="20.25" customHeight="1" x14ac:dyDescent="0.25">
      <c r="D201" s="51"/>
      <c r="E201" s="52"/>
    </row>
    <row r="202" spans="4:5" s="44" customFormat="1" ht="20.25" customHeight="1" x14ac:dyDescent="0.25">
      <c r="D202" s="51"/>
      <c r="E202" s="52"/>
    </row>
    <row r="203" spans="4:5" s="44" customFormat="1" ht="20.25" customHeight="1" x14ac:dyDescent="0.25">
      <c r="D203" s="51"/>
      <c r="E203" s="52"/>
    </row>
    <row r="204" spans="4:5" s="44" customFormat="1" ht="20.25" customHeight="1" x14ac:dyDescent="0.25">
      <c r="D204" s="51"/>
      <c r="E204" s="52"/>
    </row>
    <row r="205" spans="4:5" s="44" customFormat="1" ht="20.25" customHeight="1" x14ac:dyDescent="0.25">
      <c r="D205" s="51"/>
      <c r="E205" s="52"/>
    </row>
    <row r="206" spans="4:5" s="44" customFormat="1" ht="20.25" customHeight="1" x14ac:dyDescent="0.25">
      <c r="D206" s="51"/>
      <c r="E206" s="52"/>
    </row>
    <row r="207" spans="4:5" s="44" customFormat="1" ht="20.25" customHeight="1" x14ac:dyDescent="0.25">
      <c r="D207" s="51"/>
      <c r="E207" s="52"/>
    </row>
    <row r="208" spans="4:5" s="44" customFormat="1" ht="20.25" customHeight="1" x14ac:dyDescent="0.25">
      <c r="D208" s="51"/>
      <c r="E208" s="52"/>
    </row>
    <row r="209" spans="4:5" s="44" customFormat="1" ht="20.25" customHeight="1" x14ac:dyDescent="0.25">
      <c r="D209" s="51"/>
      <c r="E209" s="52"/>
    </row>
    <row r="210" spans="4:5" s="44" customFormat="1" ht="20.25" customHeight="1" x14ac:dyDescent="0.25">
      <c r="D210" s="51"/>
      <c r="E210" s="52"/>
    </row>
    <row r="211" spans="4:5" s="44" customFormat="1" ht="20.25" customHeight="1" x14ac:dyDescent="0.25">
      <c r="D211" s="51"/>
      <c r="E211" s="52"/>
    </row>
    <row r="212" spans="4:5" s="44" customFormat="1" ht="20.25" customHeight="1" x14ac:dyDescent="0.25">
      <c r="D212" s="51"/>
      <c r="E212" s="52"/>
    </row>
    <row r="213" spans="4:5" s="44" customFormat="1" ht="20.25" customHeight="1" x14ac:dyDescent="0.25">
      <c r="D213" s="51"/>
      <c r="E213" s="52"/>
    </row>
    <row r="214" spans="4:5" s="44" customFormat="1" ht="20.25" customHeight="1" x14ac:dyDescent="0.25">
      <c r="D214" s="51"/>
      <c r="E214" s="52"/>
    </row>
    <row r="215" spans="4:5" s="44" customFormat="1" ht="20.25" customHeight="1" x14ac:dyDescent="0.25">
      <c r="D215" s="51"/>
      <c r="E215" s="52"/>
    </row>
    <row r="216" spans="4:5" s="44" customFormat="1" ht="20.25" customHeight="1" x14ac:dyDescent="0.25">
      <c r="D216" s="51"/>
      <c r="E216" s="52"/>
    </row>
    <row r="217" spans="4:5" s="44" customFormat="1" ht="20.25" customHeight="1" x14ac:dyDescent="0.25">
      <c r="D217" s="51"/>
      <c r="E217" s="52"/>
    </row>
    <row r="218" spans="4:5" s="44" customFormat="1" ht="20.25" customHeight="1" x14ac:dyDescent="0.25">
      <c r="D218" s="51"/>
      <c r="E218" s="52"/>
    </row>
    <row r="219" spans="4:5" s="44" customFormat="1" ht="20.25" customHeight="1" x14ac:dyDescent="0.25">
      <c r="D219" s="51"/>
      <c r="E219" s="52"/>
    </row>
    <row r="220" spans="4:5" s="44" customFormat="1" ht="20.25" customHeight="1" x14ac:dyDescent="0.25">
      <c r="D220" s="51"/>
      <c r="E220" s="52"/>
    </row>
    <row r="221" spans="4:5" s="44" customFormat="1" ht="20.25" customHeight="1" x14ac:dyDescent="0.25">
      <c r="D221" s="51"/>
      <c r="E221" s="52"/>
    </row>
    <row r="222" spans="4:5" s="44" customFormat="1" ht="20.25" customHeight="1" x14ac:dyDescent="0.25">
      <c r="D222" s="51"/>
      <c r="E222" s="52"/>
    </row>
    <row r="223" spans="4:5" s="44" customFormat="1" ht="20.25" customHeight="1" x14ac:dyDescent="0.25">
      <c r="D223" s="51"/>
      <c r="E223" s="52"/>
    </row>
    <row r="224" spans="4:5" s="44" customFormat="1" ht="20.25" customHeight="1" x14ac:dyDescent="0.25">
      <c r="D224" s="51"/>
      <c r="E224" s="52"/>
    </row>
    <row r="225" spans="4:5" s="44" customFormat="1" ht="20.25" customHeight="1" x14ac:dyDescent="0.25">
      <c r="D225" s="51"/>
      <c r="E225" s="52"/>
    </row>
    <row r="226" spans="4:5" s="44" customFormat="1" ht="20.25" customHeight="1" x14ac:dyDescent="0.25">
      <c r="D226" s="51"/>
      <c r="E226" s="52"/>
    </row>
    <row r="227" spans="4:5" s="44" customFormat="1" ht="20.25" customHeight="1" x14ac:dyDescent="0.25">
      <c r="D227" s="51"/>
      <c r="E227" s="52"/>
    </row>
    <row r="228" spans="4:5" s="44" customFormat="1" ht="20.25" customHeight="1" x14ac:dyDescent="0.25">
      <c r="D228" s="51"/>
      <c r="E228" s="52"/>
    </row>
    <row r="229" spans="4:5" s="44" customFormat="1" ht="20.25" customHeight="1" x14ac:dyDescent="0.25">
      <c r="D229" s="51"/>
      <c r="E229" s="52"/>
    </row>
    <row r="230" spans="4:5" s="44" customFormat="1" ht="20.25" customHeight="1" x14ac:dyDescent="0.25">
      <c r="D230" s="51"/>
      <c r="E230" s="52"/>
    </row>
    <row r="231" spans="4:5" s="44" customFormat="1" ht="20.25" customHeight="1" x14ac:dyDescent="0.25">
      <c r="D231" s="51"/>
      <c r="E231" s="52"/>
    </row>
    <row r="232" spans="4:5" s="44" customFormat="1" ht="20.25" customHeight="1" x14ac:dyDescent="0.25">
      <c r="D232" s="51"/>
      <c r="E232" s="52"/>
    </row>
    <row r="233" spans="4:5" s="44" customFormat="1" ht="20.25" customHeight="1" x14ac:dyDescent="0.25">
      <c r="D233" s="51"/>
      <c r="E233" s="52"/>
    </row>
    <row r="234" spans="4:5" s="44" customFormat="1" ht="20.25" customHeight="1" x14ac:dyDescent="0.25">
      <c r="D234" s="51"/>
      <c r="E234" s="52"/>
    </row>
    <row r="235" spans="4:5" s="44" customFormat="1" ht="20.25" customHeight="1" x14ac:dyDescent="0.25">
      <c r="D235" s="51"/>
      <c r="E235" s="52"/>
    </row>
    <row r="236" spans="4:5" s="44" customFormat="1" ht="20.25" customHeight="1" x14ac:dyDescent="0.25">
      <c r="D236" s="51"/>
      <c r="E236" s="52"/>
    </row>
    <row r="237" spans="4:5" s="41" customFormat="1" ht="20.25" customHeight="1" x14ac:dyDescent="0.25">
      <c r="D237" s="51"/>
      <c r="E237" s="52"/>
    </row>
    <row r="238" spans="4:5" s="44" customFormat="1" ht="20.25" customHeight="1" x14ac:dyDescent="0.25">
      <c r="D238" s="51"/>
      <c r="E238" s="52"/>
    </row>
    <row r="239" spans="4:5" s="44" customFormat="1" ht="20.25" customHeight="1" x14ac:dyDescent="0.25">
      <c r="D239" s="51"/>
      <c r="E239" s="52"/>
    </row>
    <row r="240" spans="4:5" s="41" customFormat="1" ht="20.25" customHeight="1" x14ac:dyDescent="0.25">
      <c r="D240" s="51"/>
      <c r="E240" s="52"/>
    </row>
    <row r="241" spans="4:5" s="44" customFormat="1" ht="20.25" customHeight="1" x14ac:dyDescent="0.25">
      <c r="D241" s="51"/>
      <c r="E241" s="52"/>
    </row>
    <row r="242" spans="4:5" s="44" customFormat="1" ht="20.25" customHeight="1" x14ac:dyDescent="0.25">
      <c r="D242" s="51"/>
      <c r="E242" s="52"/>
    </row>
    <row r="243" spans="4:5" s="44" customFormat="1" ht="20.25" customHeight="1" x14ac:dyDescent="0.25">
      <c r="D243" s="51"/>
      <c r="E243" s="52"/>
    </row>
    <row r="244" spans="4:5" s="44" customFormat="1" ht="20.25" customHeight="1" x14ac:dyDescent="0.25">
      <c r="D244" s="51"/>
      <c r="E244" s="52"/>
    </row>
    <row r="245" spans="4:5" s="44" customFormat="1" ht="20.25" customHeight="1" x14ac:dyDescent="0.25">
      <c r="D245" s="51"/>
      <c r="E245" s="52"/>
    </row>
    <row r="246" spans="4:5" s="41" customFormat="1" ht="20.25" customHeight="1" x14ac:dyDescent="0.25">
      <c r="D246" s="51"/>
      <c r="E246" s="52"/>
    </row>
    <row r="247" spans="4:5" s="41" customFormat="1" ht="20.25" customHeight="1" x14ac:dyDescent="0.25">
      <c r="D247" s="51"/>
      <c r="E247" s="52"/>
    </row>
    <row r="248" spans="4:5" s="44" customFormat="1" ht="20.25" customHeight="1" x14ac:dyDescent="0.25">
      <c r="D248" s="51"/>
      <c r="E248" s="52"/>
    </row>
    <row r="249" spans="4:5" s="44" customFormat="1" ht="20.25" customHeight="1" x14ac:dyDescent="0.25">
      <c r="D249" s="51"/>
      <c r="E249" s="52"/>
    </row>
    <row r="250" spans="4:5" s="44" customFormat="1" ht="20.25" customHeight="1" x14ac:dyDescent="0.25">
      <c r="D250" s="51"/>
      <c r="E250" s="52"/>
    </row>
    <row r="251" spans="4:5" s="44" customFormat="1" ht="20.25" customHeight="1" x14ac:dyDescent="0.25">
      <c r="D251" s="51"/>
      <c r="E251" s="52"/>
    </row>
    <row r="252" spans="4:5" s="44" customFormat="1" ht="20.25" customHeight="1" x14ac:dyDescent="0.25">
      <c r="D252" s="51"/>
      <c r="E252" s="52"/>
    </row>
    <row r="253" spans="4:5" s="44" customFormat="1" ht="20.25" customHeight="1" x14ac:dyDescent="0.25">
      <c r="D253" s="51"/>
      <c r="E253" s="52"/>
    </row>
    <row r="254" spans="4:5" s="44" customFormat="1" ht="20.25" customHeight="1" x14ac:dyDescent="0.25">
      <c r="D254" s="51"/>
      <c r="E254" s="52"/>
    </row>
    <row r="255" spans="4:5" s="44" customFormat="1" ht="20.25" customHeight="1" x14ac:dyDescent="0.25">
      <c r="D255" s="51"/>
      <c r="E255" s="52"/>
    </row>
    <row r="256" spans="4:5" s="44" customFormat="1" ht="20.25" customHeight="1" x14ac:dyDescent="0.25">
      <c r="D256" s="51"/>
      <c r="E256" s="52"/>
    </row>
    <row r="257" spans="4:5" s="44" customFormat="1" ht="20.25" customHeight="1" x14ac:dyDescent="0.25">
      <c r="D257" s="51"/>
      <c r="E257" s="52"/>
    </row>
    <row r="258" spans="4:5" s="44" customFormat="1" ht="20.25" customHeight="1" x14ac:dyDescent="0.25">
      <c r="D258" s="51"/>
      <c r="E258" s="52"/>
    </row>
    <row r="259" spans="4:5" s="44" customFormat="1" ht="20.25" customHeight="1" x14ac:dyDescent="0.25">
      <c r="D259" s="51"/>
      <c r="E259" s="52"/>
    </row>
    <row r="260" spans="4:5" s="44" customFormat="1" ht="20.25" customHeight="1" x14ac:dyDescent="0.25">
      <c r="D260" s="51"/>
      <c r="E260" s="52"/>
    </row>
    <row r="261" spans="4:5" s="44" customFormat="1" ht="20.25" customHeight="1" x14ac:dyDescent="0.25">
      <c r="D261" s="51"/>
      <c r="E261" s="52"/>
    </row>
    <row r="262" spans="4:5" s="44" customFormat="1" ht="20.25" customHeight="1" x14ac:dyDescent="0.25">
      <c r="D262" s="51"/>
      <c r="E262" s="52"/>
    </row>
    <row r="263" spans="4:5" s="44" customFormat="1" ht="20.25" customHeight="1" x14ac:dyDescent="0.25">
      <c r="D263" s="51"/>
      <c r="E263" s="52"/>
    </row>
    <row r="264" spans="4:5" s="44" customFormat="1" ht="20.25" customHeight="1" x14ac:dyDescent="0.25">
      <c r="D264" s="51"/>
      <c r="E264" s="52"/>
    </row>
    <row r="265" spans="4:5" s="41" customFormat="1" ht="20.25" customHeight="1" x14ac:dyDescent="0.25">
      <c r="D265" s="51"/>
      <c r="E265" s="52"/>
    </row>
    <row r="266" spans="4:5" s="44" customFormat="1" ht="20.25" customHeight="1" x14ac:dyDescent="0.25">
      <c r="D266" s="51"/>
      <c r="E266" s="52"/>
    </row>
    <row r="267" spans="4:5" s="44" customFormat="1" ht="20.25" customHeight="1" x14ac:dyDescent="0.25">
      <c r="D267" s="51"/>
      <c r="E267" s="52"/>
    </row>
    <row r="268" spans="4:5" s="44" customFormat="1" ht="20.25" customHeight="1" x14ac:dyDescent="0.25">
      <c r="D268" s="51"/>
      <c r="E268" s="52"/>
    </row>
    <row r="269" spans="4:5" s="44" customFormat="1" ht="20.25" customHeight="1" x14ac:dyDescent="0.25">
      <c r="D269" s="51"/>
      <c r="E269" s="52"/>
    </row>
    <row r="270" spans="4:5" s="44" customFormat="1" ht="20.25" customHeight="1" x14ac:dyDescent="0.25">
      <c r="D270" s="51"/>
      <c r="E270" s="52"/>
    </row>
    <row r="271" spans="4:5" s="44" customFormat="1" ht="20.25" customHeight="1" x14ac:dyDescent="0.25">
      <c r="D271" s="51"/>
      <c r="E271" s="52"/>
    </row>
    <row r="272" spans="4:5" s="44" customFormat="1" ht="20.25" customHeight="1" x14ac:dyDescent="0.25">
      <c r="D272" s="51"/>
      <c r="E272" s="52"/>
    </row>
    <row r="273" spans="3:5" s="44" customFormat="1" ht="20.25" customHeight="1" x14ac:dyDescent="0.25">
      <c r="D273" s="51"/>
      <c r="E273" s="52"/>
    </row>
    <row r="274" spans="3:5" s="44" customFormat="1" ht="20.25" customHeight="1" x14ac:dyDescent="0.25">
      <c r="D274" s="51"/>
      <c r="E274" s="52"/>
    </row>
    <row r="275" spans="3:5" s="44" customFormat="1" ht="20.25" customHeight="1" x14ac:dyDescent="0.25">
      <c r="D275" s="54"/>
      <c r="E275" s="52"/>
    </row>
    <row r="276" spans="3:5" s="44" customFormat="1" ht="20.25" customHeight="1" x14ac:dyDescent="0.25">
      <c r="D276" s="51"/>
      <c r="E276" s="52"/>
    </row>
    <row r="277" spans="3:5" s="44" customFormat="1" ht="20.25" customHeight="1" x14ac:dyDescent="0.25">
      <c r="D277" s="51"/>
      <c r="E277" s="52"/>
    </row>
    <row r="278" spans="3:5" s="44" customFormat="1" ht="20.25" customHeight="1" x14ac:dyDescent="0.25">
      <c r="D278" s="51"/>
      <c r="E278" s="52"/>
    </row>
    <row r="279" spans="3:5" s="44" customFormat="1" ht="20.25" customHeight="1" x14ac:dyDescent="0.25"/>
    <row r="280" spans="3:5" s="44" customFormat="1" ht="20.25" customHeight="1" x14ac:dyDescent="0.25"/>
    <row r="281" spans="3:5" s="44" customFormat="1" ht="20.25" customHeight="1" x14ac:dyDescent="0.25"/>
    <row r="282" spans="3:5" s="44" customFormat="1" ht="20.25" customHeight="1" x14ac:dyDescent="0.25"/>
    <row r="283" spans="3:5" s="44" customFormat="1" ht="20.25" customHeight="1" x14ac:dyDescent="0.25"/>
    <row r="284" spans="3:5" s="44" customFormat="1" ht="20.25" customHeight="1" x14ac:dyDescent="0.25"/>
    <row r="285" spans="3:5" s="44" customFormat="1" ht="20.25" customHeight="1" x14ac:dyDescent="0.25"/>
    <row r="286" spans="3:5" s="44" customFormat="1" ht="20.25" customHeight="1" x14ac:dyDescent="0.25"/>
    <row r="287" spans="3:5" s="44" customFormat="1" ht="20.25" customHeight="1" x14ac:dyDescent="0.25"/>
    <row r="288" spans="3:5" s="44" customFormat="1" ht="20.25" customHeight="1" x14ac:dyDescent="0.25">
      <c r="C288" s="50"/>
    </row>
    <row r="289" spans="4:5" ht="20.25" customHeight="1" x14ac:dyDescent="0.2"/>
    <row r="290" spans="4:5" ht="20.25" customHeight="1" x14ac:dyDescent="0.2"/>
    <row r="291" spans="4:5" s="41" customFormat="1" ht="20.25" customHeight="1" x14ac:dyDescent="0.25">
      <c r="D291" s="58"/>
      <c r="E291" s="58"/>
    </row>
    <row r="292" spans="4:5" s="41" customFormat="1" ht="20.25" customHeight="1" x14ac:dyDescent="0.25">
      <c r="D292" s="39"/>
      <c r="E292" s="39"/>
    </row>
    <row r="293" spans="4:5" s="44" customFormat="1" ht="20.25" customHeight="1" x14ac:dyDescent="0.25">
      <c r="D293" s="58"/>
      <c r="E293" s="58"/>
    </row>
    <row r="294" spans="4:5" ht="20.25" customHeight="1" x14ac:dyDescent="0.2"/>
    <row r="295" spans="4:5" ht="20.25" customHeight="1" x14ac:dyDescent="0.2"/>
    <row r="296" spans="4:5" ht="20.25" customHeight="1" x14ac:dyDescent="0.2"/>
    <row r="297" spans="4:5" s="44" customFormat="1" ht="20.25" customHeight="1" x14ac:dyDescent="0.25">
      <c r="D297" s="52"/>
      <c r="E297" s="52"/>
    </row>
    <row r="298" spans="4:5" s="44" customFormat="1" ht="20.25" customHeight="1" x14ac:dyDescent="0.25">
      <c r="D298" s="52"/>
      <c r="E298" s="52"/>
    </row>
    <row r="299" spans="4:5" s="44" customFormat="1" ht="20.25" customHeight="1" x14ac:dyDescent="0.25"/>
    <row r="300" spans="4:5" ht="20.25" customHeight="1" x14ac:dyDescent="0.2"/>
    <row r="301" spans="4:5" ht="20.25" customHeight="1" x14ac:dyDescent="0.2"/>
    <row r="302" spans="4:5" ht="20.25" customHeight="1" x14ac:dyDescent="0.2"/>
    <row r="303" spans="4:5" s="44" customFormat="1" ht="20.25" customHeight="1" x14ac:dyDescent="0.25">
      <c r="D303" s="58"/>
      <c r="E303" s="58"/>
    </row>
    <row r="304" spans="4:5" s="44" customFormat="1" ht="20.25" customHeight="1" x14ac:dyDescent="0.25">
      <c r="D304" s="62"/>
      <c r="E304" s="63"/>
    </row>
    <row r="305" spans="1:5" s="44" customFormat="1" ht="20.25" customHeight="1" x14ac:dyDescent="0.25">
      <c r="D305" s="58"/>
      <c r="E305" s="58"/>
    </row>
    <row r="306" spans="1:5" ht="20.25" customHeight="1" x14ac:dyDescent="0.2"/>
    <row r="307" spans="1:5" ht="20.25" customHeight="1" x14ac:dyDescent="0.2"/>
    <row r="308" spans="1:5" ht="20.25" customHeight="1" x14ac:dyDescent="0.2"/>
    <row r="309" spans="1:5" s="41" customFormat="1" ht="20.25" customHeight="1" x14ac:dyDescent="0.25">
      <c r="D309" s="64"/>
      <c r="E309" s="64"/>
    </row>
    <row r="310" spans="1:5" s="44" customFormat="1" ht="20.25" customHeight="1" x14ac:dyDescent="0.25">
      <c r="D310" s="58"/>
      <c r="E310" s="58"/>
    </row>
    <row r="311" spans="1:5" s="44" customFormat="1" ht="20.25" customHeight="1" x14ac:dyDescent="0.25">
      <c r="D311" s="58"/>
      <c r="E311" s="58"/>
    </row>
    <row r="312" spans="1:5" ht="20.25" customHeight="1" x14ac:dyDescent="0.2"/>
    <row r="313" spans="1:5" ht="20.25" customHeight="1" x14ac:dyDescent="0.2"/>
    <row r="314" spans="1:5" s="44" customFormat="1" ht="20.25" customHeight="1" x14ac:dyDescent="0.25">
      <c r="D314" s="58"/>
      <c r="E314" s="58"/>
    </row>
    <row r="315" spans="1:5" s="44" customFormat="1" ht="20.25" customHeight="1" x14ac:dyDescent="0.25">
      <c r="D315" s="58"/>
      <c r="E315" s="65"/>
    </row>
    <row r="316" spans="1:5" s="44" customFormat="1" ht="20.25" customHeight="1" x14ac:dyDescent="0.25">
      <c r="D316" s="58"/>
      <c r="E316" s="58"/>
    </row>
    <row r="317" spans="1:5" s="44" customFormat="1" ht="20.25" customHeight="1" x14ac:dyDescent="0.25">
      <c r="D317" s="58"/>
      <c r="E317" s="65"/>
    </row>
    <row r="318" spans="1:5" s="44" customFormat="1" ht="20.25" customHeight="1" x14ac:dyDescent="0.25">
      <c r="D318" s="66"/>
      <c r="E318" s="67"/>
    </row>
    <row r="319" spans="1:5" s="44" customFormat="1" ht="20.25" customHeight="1" x14ac:dyDescent="0.25">
      <c r="D319" s="58"/>
      <c r="E319" s="65"/>
    </row>
    <row r="320" spans="1:5" s="60" customFormat="1" ht="15.75" customHeight="1" x14ac:dyDescent="0.25">
      <c r="A320" s="68"/>
      <c r="B320" s="69"/>
      <c r="C320" s="70"/>
      <c r="D320" s="47"/>
      <c r="E320" s="47"/>
    </row>
    <row r="321" spans="4:5" ht="22.5" x14ac:dyDescent="0.2">
      <c r="D321" s="58"/>
      <c r="E321" s="65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ورقة3"/>
  <dimension ref="A1:C31"/>
  <sheetViews>
    <sheetView rightToLeft="1" workbookViewId="0">
      <selection sqref="A1:C1"/>
    </sheetView>
  </sheetViews>
  <sheetFormatPr defaultRowHeight="14.25" x14ac:dyDescent="0.2"/>
  <cols>
    <col min="2" max="2" width="14.75" customWidth="1"/>
    <col min="3" max="3" width="35.375" customWidth="1"/>
  </cols>
  <sheetData>
    <row r="1" spans="1:3" ht="18.75" x14ac:dyDescent="0.2">
      <c r="A1" s="195" t="s">
        <v>751</v>
      </c>
      <c r="B1" s="195"/>
      <c r="C1" s="195"/>
    </row>
    <row r="2" spans="1:3" ht="15.75" x14ac:dyDescent="0.2">
      <c r="A2" s="55" t="s">
        <v>747</v>
      </c>
      <c r="B2" s="56" t="s">
        <v>748</v>
      </c>
      <c r="C2" s="57" t="s">
        <v>707</v>
      </c>
    </row>
    <row r="3" spans="1:3" ht="16.5" x14ac:dyDescent="0.25">
      <c r="A3" s="42"/>
      <c r="B3" s="43"/>
      <c r="C3" s="45"/>
    </row>
    <row r="4" spans="1:3" ht="16.5" x14ac:dyDescent="0.2">
      <c r="A4" s="42"/>
      <c r="B4" s="53"/>
      <c r="C4" s="45"/>
    </row>
    <row r="5" spans="1:3" ht="16.5" x14ac:dyDescent="0.2">
      <c r="A5" s="42"/>
      <c r="B5" s="42"/>
      <c r="C5" s="45"/>
    </row>
    <row r="6" spans="1:3" x14ac:dyDescent="0.2">
      <c r="C6" s="59"/>
    </row>
    <row r="7" spans="1:3" ht="18.75" x14ac:dyDescent="0.2">
      <c r="A7" s="195" t="s">
        <v>752</v>
      </c>
      <c r="B7" s="195"/>
      <c r="C7" s="195"/>
    </row>
    <row r="8" spans="1:3" ht="15.75" x14ac:dyDescent="0.2">
      <c r="A8" s="56" t="s">
        <v>747</v>
      </c>
      <c r="B8" s="56" t="s">
        <v>748</v>
      </c>
      <c r="C8" s="57" t="s">
        <v>707</v>
      </c>
    </row>
    <row r="9" spans="1:3" ht="16.5" x14ac:dyDescent="0.2">
      <c r="A9" s="42"/>
      <c r="B9" s="42"/>
      <c r="C9" s="45"/>
    </row>
    <row r="10" spans="1:3" ht="16.5" x14ac:dyDescent="0.2">
      <c r="A10" s="42"/>
      <c r="B10" s="42"/>
      <c r="C10" s="45"/>
    </row>
    <row r="11" spans="1:3" ht="16.5" x14ac:dyDescent="0.2">
      <c r="A11" s="42"/>
      <c r="B11" s="42"/>
      <c r="C11" s="45"/>
    </row>
    <row r="12" spans="1:3" ht="15" x14ac:dyDescent="0.2">
      <c r="A12" s="60"/>
      <c r="B12" s="60"/>
      <c r="C12" s="61"/>
    </row>
    <row r="13" spans="1:3" ht="18.75" x14ac:dyDescent="0.2">
      <c r="A13" s="195" t="s">
        <v>753</v>
      </c>
      <c r="B13" s="195"/>
      <c r="C13" s="195"/>
    </row>
    <row r="14" spans="1:3" ht="15.75" x14ac:dyDescent="0.2">
      <c r="A14" s="56" t="s">
        <v>747</v>
      </c>
      <c r="B14" s="56" t="s">
        <v>748</v>
      </c>
      <c r="C14" s="57" t="s">
        <v>707</v>
      </c>
    </row>
    <row r="15" spans="1:3" ht="16.5" x14ac:dyDescent="0.2">
      <c r="A15" s="42"/>
      <c r="B15" s="42"/>
      <c r="C15" s="45"/>
    </row>
    <row r="16" spans="1:3" ht="16.5" x14ac:dyDescent="0.2">
      <c r="A16" s="42"/>
      <c r="B16" s="42"/>
      <c r="C16" s="45"/>
    </row>
    <row r="17" spans="1:3" ht="16.5" x14ac:dyDescent="0.2">
      <c r="A17" s="42"/>
      <c r="B17" s="42"/>
      <c r="C17" s="45"/>
    </row>
    <row r="18" spans="1:3" x14ac:dyDescent="0.2">
      <c r="C18" s="59"/>
    </row>
    <row r="19" spans="1:3" ht="18.75" x14ac:dyDescent="0.2">
      <c r="A19" s="195" t="s">
        <v>754</v>
      </c>
      <c r="B19" s="195"/>
      <c r="C19" s="195"/>
    </row>
    <row r="20" spans="1:3" ht="15.75" x14ac:dyDescent="0.2">
      <c r="A20" s="56" t="s">
        <v>747</v>
      </c>
      <c r="B20" s="56" t="s">
        <v>748</v>
      </c>
      <c r="C20" s="57" t="s">
        <v>707</v>
      </c>
    </row>
    <row r="21" spans="1:3" ht="16.5" x14ac:dyDescent="0.25">
      <c r="A21" s="42"/>
      <c r="B21" s="46"/>
      <c r="C21" s="45"/>
    </row>
    <row r="22" spans="1:3" ht="16.5" x14ac:dyDescent="0.25">
      <c r="A22" s="42"/>
      <c r="B22" s="46"/>
      <c r="C22" s="45"/>
    </row>
    <row r="23" spans="1:3" ht="16.5" x14ac:dyDescent="0.25">
      <c r="A23" s="44"/>
      <c r="B23" s="44"/>
      <c r="C23" s="50"/>
    </row>
    <row r="24" spans="1:3" ht="18.75" x14ac:dyDescent="0.2">
      <c r="A24" s="195" t="s">
        <v>755</v>
      </c>
      <c r="B24" s="195"/>
      <c r="C24" s="195"/>
    </row>
    <row r="25" spans="1:3" ht="15.75" x14ac:dyDescent="0.2">
      <c r="A25" s="56" t="s">
        <v>747</v>
      </c>
      <c r="B25" s="56" t="s">
        <v>748</v>
      </c>
      <c r="C25" s="57" t="s">
        <v>707</v>
      </c>
    </row>
    <row r="26" spans="1:3" ht="16.5" x14ac:dyDescent="0.25">
      <c r="A26" s="42"/>
      <c r="B26" s="46"/>
      <c r="C26" s="45"/>
    </row>
    <row r="27" spans="1:3" ht="16.5" x14ac:dyDescent="0.25">
      <c r="A27" s="42"/>
      <c r="B27" s="46"/>
      <c r="C27" s="45"/>
    </row>
    <row r="28" spans="1:3" ht="16.5" x14ac:dyDescent="0.25">
      <c r="A28" s="42"/>
      <c r="B28" s="46"/>
      <c r="C28" s="45"/>
    </row>
    <row r="29" spans="1:3" ht="16.5" x14ac:dyDescent="0.25">
      <c r="A29" s="42"/>
      <c r="B29" s="46"/>
      <c r="C29" s="45"/>
    </row>
    <row r="30" spans="1:3" ht="16.5" x14ac:dyDescent="0.25">
      <c r="A30" s="42"/>
      <c r="B30" s="46"/>
      <c r="C30" s="45"/>
    </row>
    <row r="31" spans="1:3" ht="16.5" x14ac:dyDescent="0.25">
      <c r="A31" s="42"/>
      <c r="B31" s="46"/>
      <c r="C31" s="45"/>
    </row>
  </sheetData>
  <mergeCells count="5">
    <mergeCell ref="A24:C24"/>
    <mergeCell ref="A1:C1"/>
    <mergeCell ref="A7:C7"/>
    <mergeCell ref="A13:C13"/>
    <mergeCell ref="A19:C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ورقة4"/>
  <dimension ref="A1:K513"/>
  <sheetViews>
    <sheetView topLeftCell="A183" workbookViewId="0">
      <selection activeCell="D351" sqref="D351"/>
    </sheetView>
  </sheetViews>
  <sheetFormatPr defaultRowHeight="14.25" x14ac:dyDescent="0.2"/>
  <cols>
    <col min="1" max="1" width="16.875" customWidth="1"/>
    <col min="3" max="3" width="12.125" style="107" customWidth="1"/>
    <col min="4" max="4" width="19.125" customWidth="1"/>
    <col min="5" max="5" width="8.125" customWidth="1"/>
    <col min="6" max="6" width="15.875" style="98" customWidth="1"/>
    <col min="7" max="7" width="8.25" customWidth="1"/>
    <col min="8" max="8" width="6.25" customWidth="1"/>
    <col min="9" max="9" width="5.75" customWidth="1"/>
    <col min="10" max="10" width="8.875" customWidth="1"/>
    <col min="11" max="11" width="14.75" customWidth="1"/>
    <col min="257" max="257" width="16.875" customWidth="1"/>
    <col min="259" max="259" width="12.125" customWidth="1"/>
    <col min="260" max="260" width="19.125" customWidth="1"/>
    <col min="261" max="261" width="8.125" customWidth="1"/>
    <col min="262" max="262" width="15.875" customWidth="1"/>
    <col min="263" max="263" width="8.25" customWidth="1"/>
    <col min="264" max="264" width="6.25" customWidth="1"/>
    <col min="265" max="265" width="5.75" customWidth="1"/>
    <col min="266" max="266" width="8.875" customWidth="1"/>
    <col min="267" max="267" width="14.75" customWidth="1"/>
    <col min="513" max="513" width="16.875" customWidth="1"/>
    <col min="515" max="515" width="12.125" customWidth="1"/>
    <col min="516" max="516" width="19.125" customWidth="1"/>
    <col min="517" max="517" width="8.125" customWidth="1"/>
    <col min="518" max="518" width="15.875" customWidth="1"/>
    <col min="519" max="519" width="8.25" customWidth="1"/>
    <col min="520" max="520" width="6.25" customWidth="1"/>
    <col min="521" max="521" width="5.75" customWidth="1"/>
    <col min="522" max="522" width="8.875" customWidth="1"/>
    <col min="523" max="523" width="14.75" customWidth="1"/>
    <col min="769" max="769" width="16.875" customWidth="1"/>
    <col min="771" max="771" width="12.125" customWidth="1"/>
    <col min="772" max="772" width="19.125" customWidth="1"/>
    <col min="773" max="773" width="8.125" customWidth="1"/>
    <col min="774" max="774" width="15.875" customWidth="1"/>
    <col min="775" max="775" width="8.25" customWidth="1"/>
    <col min="776" max="776" width="6.25" customWidth="1"/>
    <col min="777" max="777" width="5.75" customWidth="1"/>
    <col min="778" max="778" width="8.875" customWidth="1"/>
    <col min="779" max="779" width="14.75" customWidth="1"/>
    <col min="1025" max="1025" width="16.875" customWidth="1"/>
    <col min="1027" max="1027" width="12.125" customWidth="1"/>
    <col min="1028" max="1028" width="19.125" customWidth="1"/>
    <col min="1029" max="1029" width="8.125" customWidth="1"/>
    <col min="1030" max="1030" width="15.875" customWidth="1"/>
    <col min="1031" max="1031" width="8.25" customWidth="1"/>
    <col min="1032" max="1032" width="6.25" customWidth="1"/>
    <col min="1033" max="1033" width="5.75" customWidth="1"/>
    <col min="1034" max="1034" width="8.875" customWidth="1"/>
    <col min="1035" max="1035" width="14.75" customWidth="1"/>
    <col min="1281" max="1281" width="16.875" customWidth="1"/>
    <col min="1283" max="1283" width="12.125" customWidth="1"/>
    <col min="1284" max="1284" width="19.125" customWidth="1"/>
    <col min="1285" max="1285" width="8.125" customWidth="1"/>
    <col min="1286" max="1286" width="15.875" customWidth="1"/>
    <col min="1287" max="1287" width="8.25" customWidth="1"/>
    <col min="1288" max="1288" width="6.25" customWidth="1"/>
    <col min="1289" max="1289" width="5.75" customWidth="1"/>
    <col min="1290" max="1290" width="8.875" customWidth="1"/>
    <col min="1291" max="1291" width="14.75" customWidth="1"/>
    <col min="1537" max="1537" width="16.875" customWidth="1"/>
    <col min="1539" max="1539" width="12.125" customWidth="1"/>
    <col min="1540" max="1540" width="19.125" customWidth="1"/>
    <col min="1541" max="1541" width="8.125" customWidth="1"/>
    <col min="1542" max="1542" width="15.875" customWidth="1"/>
    <col min="1543" max="1543" width="8.25" customWidth="1"/>
    <col min="1544" max="1544" width="6.25" customWidth="1"/>
    <col min="1545" max="1545" width="5.75" customWidth="1"/>
    <col min="1546" max="1546" width="8.875" customWidth="1"/>
    <col min="1547" max="1547" width="14.75" customWidth="1"/>
    <col min="1793" max="1793" width="16.875" customWidth="1"/>
    <col min="1795" max="1795" width="12.125" customWidth="1"/>
    <col min="1796" max="1796" width="19.125" customWidth="1"/>
    <col min="1797" max="1797" width="8.125" customWidth="1"/>
    <col min="1798" max="1798" width="15.875" customWidth="1"/>
    <col min="1799" max="1799" width="8.25" customWidth="1"/>
    <col min="1800" max="1800" width="6.25" customWidth="1"/>
    <col min="1801" max="1801" width="5.75" customWidth="1"/>
    <col min="1802" max="1802" width="8.875" customWidth="1"/>
    <col min="1803" max="1803" width="14.75" customWidth="1"/>
    <col min="2049" max="2049" width="16.875" customWidth="1"/>
    <col min="2051" max="2051" width="12.125" customWidth="1"/>
    <col min="2052" max="2052" width="19.125" customWidth="1"/>
    <col min="2053" max="2053" width="8.125" customWidth="1"/>
    <col min="2054" max="2054" width="15.875" customWidth="1"/>
    <col min="2055" max="2055" width="8.25" customWidth="1"/>
    <col min="2056" max="2056" width="6.25" customWidth="1"/>
    <col min="2057" max="2057" width="5.75" customWidth="1"/>
    <col min="2058" max="2058" width="8.875" customWidth="1"/>
    <col min="2059" max="2059" width="14.75" customWidth="1"/>
    <col min="2305" max="2305" width="16.875" customWidth="1"/>
    <col min="2307" max="2307" width="12.125" customWidth="1"/>
    <col min="2308" max="2308" width="19.125" customWidth="1"/>
    <col min="2309" max="2309" width="8.125" customWidth="1"/>
    <col min="2310" max="2310" width="15.875" customWidth="1"/>
    <col min="2311" max="2311" width="8.25" customWidth="1"/>
    <col min="2312" max="2312" width="6.25" customWidth="1"/>
    <col min="2313" max="2313" width="5.75" customWidth="1"/>
    <col min="2314" max="2314" width="8.875" customWidth="1"/>
    <col min="2315" max="2315" width="14.75" customWidth="1"/>
    <col min="2561" max="2561" width="16.875" customWidth="1"/>
    <col min="2563" max="2563" width="12.125" customWidth="1"/>
    <col min="2564" max="2564" width="19.125" customWidth="1"/>
    <col min="2565" max="2565" width="8.125" customWidth="1"/>
    <col min="2566" max="2566" width="15.875" customWidth="1"/>
    <col min="2567" max="2567" width="8.25" customWidth="1"/>
    <col min="2568" max="2568" width="6.25" customWidth="1"/>
    <col min="2569" max="2569" width="5.75" customWidth="1"/>
    <col min="2570" max="2570" width="8.875" customWidth="1"/>
    <col min="2571" max="2571" width="14.75" customWidth="1"/>
    <col min="2817" max="2817" width="16.875" customWidth="1"/>
    <col min="2819" max="2819" width="12.125" customWidth="1"/>
    <col min="2820" max="2820" width="19.125" customWidth="1"/>
    <col min="2821" max="2821" width="8.125" customWidth="1"/>
    <col min="2822" max="2822" width="15.875" customWidth="1"/>
    <col min="2823" max="2823" width="8.25" customWidth="1"/>
    <col min="2824" max="2824" width="6.25" customWidth="1"/>
    <col min="2825" max="2825" width="5.75" customWidth="1"/>
    <col min="2826" max="2826" width="8.875" customWidth="1"/>
    <col min="2827" max="2827" width="14.75" customWidth="1"/>
    <col min="3073" max="3073" width="16.875" customWidth="1"/>
    <col min="3075" max="3075" width="12.125" customWidth="1"/>
    <col min="3076" max="3076" width="19.125" customWidth="1"/>
    <col min="3077" max="3077" width="8.125" customWidth="1"/>
    <col min="3078" max="3078" width="15.875" customWidth="1"/>
    <col min="3079" max="3079" width="8.25" customWidth="1"/>
    <col min="3080" max="3080" width="6.25" customWidth="1"/>
    <col min="3081" max="3081" width="5.75" customWidth="1"/>
    <col min="3082" max="3082" width="8.875" customWidth="1"/>
    <col min="3083" max="3083" width="14.75" customWidth="1"/>
    <col min="3329" max="3329" width="16.875" customWidth="1"/>
    <col min="3331" max="3331" width="12.125" customWidth="1"/>
    <col min="3332" max="3332" width="19.125" customWidth="1"/>
    <col min="3333" max="3333" width="8.125" customWidth="1"/>
    <col min="3334" max="3334" width="15.875" customWidth="1"/>
    <col min="3335" max="3335" width="8.25" customWidth="1"/>
    <col min="3336" max="3336" width="6.25" customWidth="1"/>
    <col min="3337" max="3337" width="5.75" customWidth="1"/>
    <col min="3338" max="3338" width="8.875" customWidth="1"/>
    <col min="3339" max="3339" width="14.75" customWidth="1"/>
    <col min="3585" max="3585" width="16.875" customWidth="1"/>
    <col min="3587" max="3587" width="12.125" customWidth="1"/>
    <col min="3588" max="3588" width="19.125" customWidth="1"/>
    <col min="3589" max="3589" width="8.125" customWidth="1"/>
    <col min="3590" max="3590" width="15.875" customWidth="1"/>
    <col min="3591" max="3591" width="8.25" customWidth="1"/>
    <col min="3592" max="3592" width="6.25" customWidth="1"/>
    <col min="3593" max="3593" width="5.75" customWidth="1"/>
    <col min="3594" max="3594" width="8.875" customWidth="1"/>
    <col min="3595" max="3595" width="14.75" customWidth="1"/>
    <col min="3841" max="3841" width="16.875" customWidth="1"/>
    <col min="3843" max="3843" width="12.125" customWidth="1"/>
    <col min="3844" max="3844" width="19.125" customWidth="1"/>
    <col min="3845" max="3845" width="8.125" customWidth="1"/>
    <col min="3846" max="3846" width="15.875" customWidth="1"/>
    <col min="3847" max="3847" width="8.25" customWidth="1"/>
    <col min="3848" max="3848" width="6.25" customWidth="1"/>
    <col min="3849" max="3849" width="5.75" customWidth="1"/>
    <col min="3850" max="3850" width="8.875" customWidth="1"/>
    <col min="3851" max="3851" width="14.75" customWidth="1"/>
    <col min="4097" max="4097" width="16.875" customWidth="1"/>
    <col min="4099" max="4099" width="12.125" customWidth="1"/>
    <col min="4100" max="4100" width="19.125" customWidth="1"/>
    <col min="4101" max="4101" width="8.125" customWidth="1"/>
    <col min="4102" max="4102" width="15.875" customWidth="1"/>
    <col min="4103" max="4103" width="8.25" customWidth="1"/>
    <col min="4104" max="4104" width="6.25" customWidth="1"/>
    <col min="4105" max="4105" width="5.75" customWidth="1"/>
    <col min="4106" max="4106" width="8.875" customWidth="1"/>
    <col min="4107" max="4107" width="14.75" customWidth="1"/>
    <col min="4353" max="4353" width="16.875" customWidth="1"/>
    <col min="4355" max="4355" width="12.125" customWidth="1"/>
    <col min="4356" max="4356" width="19.125" customWidth="1"/>
    <col min="4357" max="4357" width="8.125" customWidth="1"/>
    <col min="4358" max="4358" width="15.875" customWidth="1"/>
    <col min="4359" max="4359" width="8.25" customWidth="1"/>
    <col min="4360" max="4360" width="6.25" customWidth="1"/>
    <col min="4361" max="4361" width="5.75" customWidth="1"/>
    <col min="4362" max="4362" width="8.875" customWidth="1"/>
    <col min="4363" max="4363" width="14.75" customWidth="1"/>
    <col min="4609" max="4609" width="16.875" customWidth="1"/>
    <col min="4611" max="4611" width="12.125" customWidth="1"/>
    <col min="4612" max="4612" width="19.125" customWidth="1"/>
    <col min="4613" max="4613" width="8.125" customWidth="1"/>
    <col min="4614" max="4614" width="15.875" customWidth="1"/>
    <col min="4615" max="4615" width="8.25" customWidth="1"/>
    <col min="4616" max="4616" width="6.25" customWidth="1"/>
    <col min="4617" max="4617" width="5.75" customWidth="1"/>
    <col min="4618" max="4618" width="8.875" customWidth="1"/>
    <col min="4619" max="4619" width="14.75" customWidth="1"/>
    <col min="4865" max="4865" width="16.875" customWidth="1"/>
    <col min="4867" max="4867" width="12.125" customWidth="1"/>
    <col min="4868" max="4868" width="19.125" customWidth="1"/>
    <col min="4869" max="4869" width="8.125" customWidth="1"/>
    <col min="4870" max="4870" width="15.875" customWidth="1"/>
    <col min="4871" max="4871" width="8.25" customWidth="1"/>
    <col min="4872" max="4872" width="6.25" customWidth="1"/>
    <col min="4873" max="4873" width="5.75" customWidth="1"/>
    <col min="4874" max="4874" width="8.875" customWidth="1"/>
    <col min="4875" max="4875" width="14.75" customWidth="1"/>
    <col min="5121" max="5121" width="16.875" customWidth="1"/>
    <col min="5123" max="5123" width="12.125" customWidth="1"/>
    <col min="5124" max="5124" width="19.125" customWidth="1"/>
    <col min="5125" max="5125" width="8.125" customWidth="1"/>
    <col min="5126" max="5126" width="15.875" customWidth="1"/>
    <col min="5127" max="5127" width="8.25" customWidth="1"/>
    <col min="5128" max="5128" width="6.25" customWidth="1"/>
    <col min="5129" max="5129" width="5.75" customWidth="1"/>
    <col min="5130" max="5130" width="8.875" customWidth="1"/>
    <col min="5131" max="5131" width="14.75" customWidth="1"/>
    <col min="5377" max="5377" width="16.875" customWidth="1"/>
    <col min="5379" max="5379" width="12.125" customWidth="1"/>
    <col min="5380" max="5380" width="19.125" customWidth="1"/>
    <col min="5381" max="5381" width="8.125" customWidth="1"/>
    <col min="5382" max="5382" width="15.875" customWidth="1"/>
    <col min="5383" max="5383" width="8.25" customWidth="1"/>
    <col min="5384" max="5384" width="6.25" customWidth="1"/>
    <col min="5385" max="5385" width="5.75" customWidth="1"/>
    <col min="5386" max="5386" width="8.875" customWidth="1"/>
    <col min="5387" max="5387" width="14.75" customWidth="1"/>
    <col min="5633" max="5633" width="16.875" customWidth="1"/>
    <col min="5635" max="5635" width="12.125" customWidth="1"/>
    <col min="5636" max="5636" width="19.125" customWidth="1"/>
    <col min="5637" max="5637" width="8.125" customWidth="1"/>
    <col min="5638" max="5638" width="15.875" customWidth="1"/>
    <col min="5639" max="5639" width="8.25" customWidth="1"/>
    <col min="5640" max="5640" width="6.25" customWidth="1"/>
    <col min="5641" max="5641" width="5.75" customWidth="1"/>
    <col min="5642" max="5642" width="8.875" customWidth="1"/>
    <col min="5643" max="5643" width="14.75" customWidth="1"/>
    <col min="5889" max="5889" width="16.875" customWidth="1"/>
    <col min="5891" max="5891" width="12.125" customWidth="1"/>
    <col min="5892" max="5892" width="19.125" customWidth="1"/>
    <col min="5893" max="5893" width="8.125" customWidth="1"/>
    <col min="5894" max="5894" width="15.875" customWidth="1"/>
    <col min="5895" max="5895" width="8.25" customWidth="1"/>
    <col min="5896" max="5896" width="6.25" customWidth="1"/>
    <col min="5897" max="5897" width="5.75" customWidth="1"/>
    <col min="5898" max="5898" width="8.875" customWidth="1"/>
    <col min="5899" max="5899" width="14.75" customWidth="1"/>
    <col min="6145" max="6145" width="16.875" customWidth="1"/>
    <col min="6147" max="6147" width="12.125" customWidth="1"/>
    <col min="6148" max="6148" width="19.125" customWidth="1"/>
    <col min="6149" max="6149" width="8.125" customWidth="1"/>
    <col min="6150" max="6150" width="15.875" customWidth="1"/>
    <col min="6151" max="6151" width="8.25" customWidth="1"/>
    <col min="6152" max="6152" width="6.25" customWidth="1"/>
    <col min="6153" max="6153" width="5.75" customWidth="1"/>
    <col min="6154" max="6154" width="8.875" customWidth="1"/>
    <col min="6155" max="6155" width="14.75" customWidth="1"/>
    <col min="6401" max="6401" width="16.875" customWidth="1"/>
    <col min="6403" max="6403" width="12.125" customWidth="1"/>
    <col min="6404" max="6404" width="19.125" customWidth="1"/>
    <col min="6405" max="6405" width="8.125" customWidth="1"/>
    <col min="6406" max="6406" width="15.875" customWidth="1"/>
    <col min="6407" max="6407" width="8.25" customWidth="1"/>
    <col min="6408" max="6408" width="6.25" customWidth="1"/>
    <col min="6409" max="6409" width="5.75" customWidth="1"/>
    <col min="6410" max="6410" width="8.875" customWidth="1"/>
    <col min="6411" max="6411" width="14.75" customWidth="1"/>
    <col min="6657" max="6657" width="16.875" customWidth="1"/>
    <col min="6659" max="6659" width="12.125" customWidth="1"/>
    <col min="6660" max="6660" width="19.125" customWidth="1"/>
    <col min="6661" max="6661" width="8.125" customWidth="1"/>
    <col min="6662" max="6662" width="15.875" customWidth="1"/>
    <col min="6663" max="6663" width="8.25" customWidth="1"/>
    <col min="6664" max="6664" width="6.25" customWidth="1"/>
    <col min="6665" max="6665" width="5.75" customWidth="1"/>
    <col min="6666" max="6666" width="8.875" customWidth="1"/>
    <col min="6667" max="6667" width="14.75" customWidth="1"/>
    <col min="6913" max="6913" width="16.875" customWidth="1"/>
    <col min="6915" max="6915" width="12.125" customWidth="1"/>
    <col min="6916" max="6916" width="19.125" customWidth="1"/>
    <col min="6917" max="6917" width="8.125" customWidth="1"/>
    <col min="6918" max="6918" width="15.875" customWidth="1"/>
    <col min="6919" max="6919" width="8.25" customWidth="1"/>
    <col min="6920" max="6920" width="6.25" customWidth="1"/>
    <col min="6921" max="6921" width="5.75" customWidth="1"/>
    <col min="6922" max="6922" width="8.875" customWidth="1"/>
    <col min="6923" max="6923" width="14.75" customWidth="1"/>
    <col min="7169" max="7169" width="16.875" customWidth="1"/>
    <col min="7171" max="7171" width="12.125" customWidth="1"/>
    <col min="7172" max="7172" width="19.125" customWidth="1"/>
    <col min="7173" max="7173" width="8.125" customWidth="1"/>
    <col min="7174" max="7174" width="15.875" customWidth="1"/>
    <col min="7175" max="7175" width="8.25" customWidth="1"/>
    <col min="7176" max="7176" width="6.25" customWidth="1"/>
    <col min="7177" max="7177" width="5.75" customWidth="1"/>
    <col min="7178" max="7178" width="8.875" customWidth="1"/>
    <col min="7179" max="7179" width="14.75" customWidth="1"/>
    <col min="7425" max="7425" width="16.875" customWidth="1"/>
    <col min="7427" max="7427" width="12.125" customWidth="1"/>
    <col min="7428" max="7428" width="19.125" customWidth="1"/>
    <col min="7429" max="7429" width="8.125" customWidth="1"/>
    <col min="7430" max="7430" width="15.875" customWidth="1"/>
    <col min="7431" max="7431" width="8.25" customWidth="1"/>
    <col min="7432" max="7432" width="6.25" customWidth="1"/>
    <col min="7433" max="7433" width="5.75" customWidth="1"/>
    <col min="7434" max="7434" width="8.875" customWidth="1"/>
    <col min="7435" max="7435" width="14.75" customWidth="1"/>
    <col min="7681" max="7681" width="16.875" customWidth="1"/>
    <col min="7683" max="7683" width="12.125" customWidth="1"/>
    <col min="7684" max="7684" width="19.125" customWidth="1"/>
    <col min="7685" max="7685" width="8.125" customWidth="1"/>
    <col min="7686" max="7686" width="15.875" customWidth="1"/>
    <col min="7687" max="7687" width="8.25" customWidth="1"/>
    <col min="7688" max="7688" width="6.25" customWidth="1"/>
    <col min="7689" max="7689" width="5.75" customWidth="1"/>
    <col min="7690" max="7690" width="8.875" customWidth="1"/>
    <col min="7691" max="7691" width="14.75" customWidth="1"/>
    <col min="7937" max="7937" width="16.875" customWidth="1"/>
    <col min="7939" max="7939" width="12.125" customWidth="1"/>
    <col min="7940" max="7940" width="19.125" customWidth="1"/>
    <col min="7941" max="7941" width="8.125" customWidth="1"/>
    <col min="7942" max="7942" width="15.875" customWidth="1"/>
    <col min="7943" max="7943" width="8.25" customWidth="1"/>
    <col min="7944" max="7944" width="6.25" customWidth="1"/>
    <col min="7945" max="7945" width="5.75" customWidth="1"/>
    <col min="7946" max="7946" width="8.875" customWidth="1"/>
    <col min="7947" max="7947" width="14.75" customWidth="1"/>
    <col min="8193" max="8193" width="16.875" customWidth="1"/>
    <col min="8195" max="8195" width="12.125" customWidth="1"/>
    <col min="8196" max="8196" width="19.125" customWidth="1"/>
    <col min="8197" max="8197" width="8.125" customWidth="1"/>
    <col min="8198" max="8198" width="15.875" customWidth="1"/>
    <col min="8199" max="8199" width="8.25" customWidth="1"/>
    <col min="8200" max="8200" width="6.25" customWidth="1"/>
    <col min="8201" max="8201" width="5.75" customWidth="1"/>
    <col min="8202" max="8202" width="8.875" customWidth="1"/>
    <col min="8203" max="8203" width="14.75" customWidth="1"/>
    <col min="8449" max="8449" width="16.875" customWidth="1"/>
    <col min="8451" max="8451" width="12.125" customWidth="1"/>
    <col min="8452" max="8452" width="19.125" customWidth="1"/>
    <col min="8453" max="8453" width="8.125" customWidth="1"/>
    <col min="8454" max="8454" width="15.875" customWidth="1"/>
    <col min="8455" max="8455" width="8.25" customWidth="1"/>
    <col min="8456" max="8456" width="6.25" customWidth="1"/>
    <col min="8457" max="8457" width="5.75" customWidth="1"/>
    <col min="8458" max="8458" width="8.875" customWidth="1"/>
    <col min="8459" max="8459" width="14.75" customWidth="1"/>
    <col min="8705" max="8705" width="16.875" customWidth="1"/>
    <col min="8707" max="8707" width="12.125" customWidth="1"/>
    <col min="8708" max="8708" width="19.125" customWidth="1"/>
    <col min="8709" max="8709" width="8.125" customWidth="1"/>
    <col min="8710" max="8710" width="15.875" customWidth="1"/>
    <col min="8711" max="8711" width="8.25" customWidth="1"/>
    <col min="8712" max="8712" width="6.25" customWidth="1"/>
    <col min="8713" max="8713" width="5.75" customWidth="1"/>
    <col min="8714" max="8714" width="8.875" customWidth="1"/>
    <col min="8715" max="8715" width="14.75" customWidth="1"/>
    <col min="8961" max="8961" width="16.875" customWidth="1"/>
    <col min="8963" max="8963" width="12.125" customWidth="1"/>
    <col min="8964" max="8964" width="19.125" customWidth="1"/>
    <col min="8965" max="8965" width="8.125" customWidth="1"/>
    <col min="8966" max="8966" width="15.875" customWidth="1"/>
    <col min="8967" max="8967" width="8.25" customWidth="1"/>
    <col min="8968" max="8968" width="6.25" customWidth="1"/>
    <col min="8969" max="8969" width="5.75" customWidth="1"/>
    <col min="8970" max="8970" width="8.875" customWidth="1"/>
    <col min="8971" max="8971" width="14.75" customWidth="1"/>
    <col min="9217" max="9217" width="16.875" customWidth="1"/>
    <col min="9219" max="9219" width="12.125" customWidth="1"/>
    <col min="9220" max="9220" width="19.125" customWidth="1"/>
    <col min="9221" max="9221" width="8.125" customWidth="1"/>
    <col min="9222" max="9222" width="15.875" customWidth="1"/>
    <col min="9223" max="9223" width="8.25" customWidth="1"/>
    <col min="9224" max="9224" width="6.25" customWidth="1"/>
    <col min="9225" max="9225" width="5.75" customWidth="1"/>
    <col min="9226" max="9226" width="8.875" customWidth="1"/>
    <col min="9227" max="9227" width="14.75" customWidth="1"/>
    <col min="9473" max="9473" width="16.875" customWidth="1"/>
    <col min="9475" max="9475" width="12.125" customWidth="1"/>
    <col min="9476" max="9476" width="19.125" customWidth="1"/>
    <col min="9477" max="9477" width="8.125" customWidth="1"/>
    <col min="9478" max="9478" width="15.875" customWidth="1"/>
    <col min="9479" max="9479" width="8.25" customWidth="1"/>
    <col min="9480" max="9480" width="6.25" customWidth="1"/>
    <col min="9481" max="9481" width="5.75" customWidth="1"/>
    <col min="9482" max="9482" width="8.875" customWidth="1"/>
    <col min="9483" max="9483" width="14.75" customWidth="1"/>
    <col min="9729" max="9729" width="16.875" customWidth="1"/>
    <col min="9731" max="9731" width="12.125" customWidth="1"/>
    <col min="9732" max="9732" width="19.125" customWidth="1"/>
    <col min="9733" max="9733" width="8.125" customWidth="1"/>
    <col min="9734" max="9734" width="15.875" customWidth="1"/>
    <col min="9735" max="9735" width="8.25" customWidth="1"/>
    <col min="9736" max="9736" width="6.25" customWidth="1"/>
    <col min="9737" max="9737" width="5.75" customWidth="1"/>
    <col min="9738" max="9738" width="8.875" customWidth="1"/>
    <col min="9739" max="9739" width="14.75" customWidth="1"/>
    <col min="9985" max="9985" width="16.875" customWidth="1"/>
    <col min="9987" max="9987" width="12.125" customWidth="1"/>
    <col min="9988" max="9988" width="19.125" customWidth="1"/>
    <col min="9989" max="9989" width="8.125" customWidth="1"/>
    <col min="9990" max="9990" width="15.875" customWidth="1"/>
    <col min="9991" max="9991" width="8.25" customWidth="1"/>
    <col min="9992" max="9992" width="6.25" customWidth="1"/>
    <col min="9993" max="9993" width="5.75" customWidth="1"/>
    <col min="9994" max="9994" width="8.875" customWidth="1"/>
    <col min="9995" max="9995" width="14.75" customWidth="1"/>
    <col min="10241" max="10241" width="16.875" customWidth="1"/>
    <col min="10243" max="10243" width="12.125" customWidth="1"/>
    <col min="10244" max="10244" width="19.125" customWidth="1"/>
    <col min="10245" max="10245" width="8.125" customWidth="1"/>
    <col min="10246" max="10246" width="15.875" customWidth="1"/>
    <col min="10247" max="10247" width="8.25" customWidth="1"/>
    <col min="10248" max="10248" width="6.25" customWidth="1"/>
    <col min="10249" max="10249" width="5.75" customWidth="1"/>
    <col min="10250" max="10250" width="8.875" customWidth="1"/>
    <col min="10251" max="10251" width="14.75" customWidth="1"/>
    <col min="10497" max="10497" width="16.875" customWidth="1"/>
    <col min="10499" max="10499" width="12.125" customWidth="1"/>
    <col min="10500" max="10500" width="19.125" customWidth="1"/>
    <col min="10501" max="10501" width="8.125" customWidth="1"/>
    <col min="10502" max="10502" width="15.875" customWidth="1"/>
    <col min="10503" max="10503" width="8.25" customWidth="1"/>
    <col min="10504" max="10504" width="6.25" customWidth="1"/>
    <col min="10505" max="10505" width="5.75" customWidth="1"/>
    <col min="10506" max="10506" width="8.875" customWidth="1"/>
    <col min="10507" max="10507" width="14.75" customWidth="1"/>
    <col min="10753" max="10753" width="16.875" customWidth="1"/>
    <col min="10755" max="10755" width="12.125" customWidth="1"/>
    <col min="10756" max="10756" width="19.125" customWidth="1"/>
    <col min="10757" max="10757" width="8.125" customWidth="1"/>
    <col min="10758" max="10758" width="15.875" customWidth="1"/>
    <col min="10759" max="10759" width="8.25" customWidth="1"/>
    <col min="10760" max="10760" width="6.25" customWidth="1"/>
    <col min="10761" max="10761" width="5.75" customWidth="1"/>
    <col min="10762" max="10762" width="8.875" customWidth="1"/>
    <col min="10763" max="10763" width="14.75" customWidth="1"/>
    <col min="11009" max="11009" width="16.875" customWidth="1"/>
    <col min="11011" max="11011" width="12.125" customWidth="1"/>
    <col min="11012" max="11012" width="19.125" customWidth="1"/>
    <col min="11013" max="11013" width="8.125" customWidth="1"/>
    <col min="11014" max="11014" width="15.875" customWidth="1"/>
    <col min="11015" max="11015" width="8.25" customWidth="1"/>
    <col min="11016" max="11016" width="6.25" customWidth="1"/>
    <col min="11017" max="11017" width="5.75" customWidth="1"/>
    <col min="11018" max="11018" width="8.875" customWidth="1"/>
    <col min="11019" max="11019" width="14.75" customWidth="1"/>
    <col min="11265" max="11265" width="16.875" customWidth="1"/>
    <col min="11267" max="11267" width="12.125" customWidth="1"/>
    <col min="11268" max="11268" width="19.125" customWidth="1"/>
    <col min="11269" max="11269" width="8.125" customWidth="1"/>
    <col min="11270" max="11270" width="15.875" customWidth="1"/>
    <col min="11271" max="11271" width="8.25" customWidth="1"/>
    <col min="11272" max="11272" width="6.25" customWidth="1"/>
    <col min="11273" max="11273" width="5.75" customWidth="1"/>
    <col min="11274" max="11274" width="8.875" customWidth="1"/>
    <col min="11275" max="11275" width="14.75" customWidth="1"/>
    <col min="11521" max="11521" width="16.875" customWidth="1"/>
    <col min="11523" max="11523" width="12.125" customWidth="1"/>
    <col min="11524" max="11524" width="19.125" customWidth="1"/>
    <col min="11525" max="11525" width="8.125" customWidth="1"/>
    <col min="11526" max="11526" width="15.875" customWidth="1"/>
    <col min="11527" max="11527" width="8.25" customWidth="1"/>
    <col min="11528" max="11528" width="6.25" customWidth="1"/>
    <col min="11529" max="11529" width="5.75" customWidth="1"/>
    <col min="11530" max="11530" width="8.875" customWidth="1"/>
    <col min="11531" max="11531" width="14.75" customWidth="1"/>
    <col min="11777" max="11777" width="16.875" customWidth="1"/>
    <col min="11779" max="11779" width="12.125" customWidth="1"/>
    <col min="11780" max="11780" width="19.125" customWidth="1"/>
    <col min="11781" max="11781" width="8.125" customWidth="1"/>
    <col min="11782" max="11782" width="15.875" customWidth="1"/>
    <col min="11783" max="11783" width="8.25" customWidth="1"/>
    <col min="11784" max="11784" width="6.25" customWidth="1"/>
    <col min="11785" max="11785" width="5.75" customWidth="1"/>
    <col min="11786" max="11786" width="8.875" customWidth="1"/>
    <col min="11787" max="11787" width="14.75" customWidth="1"/>
    <col min="12033" max="12033" width="16.875" customWidth="1"/>
    <col min="12035" max="12035" width="12.125" customWidth="1"/>
    <col min="12036" max="12036" width="19.125" customWidth="1"/>
    <col min="12037" max="12037" width="8.125" customWidth="1"/>
    <col min="12038" max="12038" width="15.875" customWidth="1"/>
    <col min="12039" max="12039" width="8.25" customWidth="1"/>
    <col min="12040" max="12040" width="6.25" customWidth="1"/>
    <col min="12041" max="12041" width="5.75" customWidth="1"/>
    <col min="12042" max="12042" width="8.875" customWidth="1"/>
    <col min="12043" max="12043" width="14.75" customWidth="1"/>
    <col min="12289" max="12289" width="16.875" customWidth="1"/>
    <col min="12291" max="12291" width="12.125" customWidth="1"/>
    <col min="12292" max="12292" width="19.125" customWidth="1"/>
    <col min="12293" max="12293" width="8.125" customWidth="1"/>
    <col min="12294" max="12294" width="15.875" customWidth="1"/>
    <col min="12295" max="12295" width="8.25" customWidth="1"/>
    <col min="12296" max="12296" width="6.25" customWidth="1"/>
    <col min="12297" max="12297" width="5.75" customWidth="1"/>
    <col min="12298" max="12298" width="8.875" customWidth="1"/>
    <col min="12299" max="12299" width="14.75" customWidth="1"/>
    <col min="12545" max="12545" width="16.875" customWidth="1"/>
    <col min="12547" max="12547" width="12.125" customWidth="1"/>
    <col min="12548" max="12548" width="19.125" customWidth="1"/>
    <col min="12549" max="12549" width="8.125" customWidth="1"/>
    <col min="12550" max="12550" width="15.875" customWidth="1"/>
    <col min="12551" max="12551" width="8.25" customWidth="1"/>
    <col min="12552" max="12552" width="6.25" customWidth="1"/>
    <col min="12553" max="12553" width="5.75" customWidth="1"/>
    <col min="12554" max="12554" width="8.875" customWidth="1"/>
    <col min="12555" max="12555" width="14.75" customWidth="1"/>
    <col min="12801" max="12801" width="16.875" customWidth="1"/>
    <col min="12803" max="12803" width="12.125" customWidth="1"/>
    <col min="12804" max="12804" width="19.125" customWidth="1"/>
    <col min="12805" max="12805" width="8.125" customWidth="1"/>
    <col min="12806" max="12806" width="15.875" customWidth="1"/>
    <col min="12807" max="12807" width="8.25" customWidth="1"/>
    <col min="12808" max="12808" width="6.25" customWidth="1"/>
    <col min="12809" max="12809" width="5.75" customWidth="1"/>
    <col min="12810" max="12810" width="8.875" customWidth="1"/>
    <col min="12811" max="12811" width="14.75" customWidth="1"/>
    <col min="13057" max="13057" width="16.875" customWidth="1"/>
    <col min="13059" max="13059" width="12.125" customWidth="1"/>
    <col min="13060" max="13060" width="19.125" customWidth="1"/>
    <col min="13061" max="13061" width="8.125" customWidth="1"/>
    <col min="13062" max="13062" width="15.875" customWidth="1"/>
    <col min="13063" max="13063" width="8.25" customWidth="1"/>
    <col min="13064" max="13064" width="6.25" customWidth="1"/>
    <col min="13065" max="13065" width="5.75" customWidth="1"/>
    <col min="13066" max="13066" width="8.875" customWidth="1"/>
    <col min="13067" max="13067" width="14.75" customWidth="1"/>
    <col min="13313" max="13313" width="16.875" customWidth="1"/>
    <col min="13315" max="13315" width="12.125" customWidth="1"/>
    <col min="13316" max="13316" width="19.125" customWidth="1"/>
    <col min="13317" max="13317" width="8.125" customWidth="1"/>
    <col min="13318" max="13318" width="15.875" customWidth="1"/>
    <col min="13319" max="13319" width="8.25" customWidth="1"/>
    <col min="13320" max="13320" width="6.25" customWidth="1"/>
    <col min="13321" max="13321" width="5.75" customWidth="1"/>
    <col min="13322" max="13322" width="8.875" customWidth="1"/>
    <col min="13323" max="13323" width="14.75" customWidth="1"/>
    <col min="13569" max="13569" width="16.875" customWidth="1"/>
    <col min="13571" max="13571" width="12.125" customWidth="1"/>
    <col min="13572" max="13572" width="19.125" customWidth="1"/>
    <col min="13573" max="13573" width="8.125" customWidth="1"/>
    <col min="13574" max="13574" width="15.875" customWidth="1"/>
    <col min="13575" max="13575" width="8.25" customWidth="1"/>
    <col min="13576" max="13576" width="6.25" customWidth="1"/>
    <col min="13577" max="13577" width="5.75" customWidth="1"/>
    <col min="13578" max="13578" width="8.875" customWidth="1"/>
    <col min="13579" max="13579" width="14.75" customWidth="1"/>
    <col min="13825" max="13825" width="16.875" customWidth="1"/>
    <col min="13827" max="13827" width="12.125" customWidth="1"/>
    <col min="13828" max="13828" width="19.125" customWidth="1"/>
    <col min="13829" max="13829" width="8.125" customWidth="1"/>
    <col min="13830" max="13830" width="15.875" customWidth="1"/>
    <col min="13831" max="13831" width="8.25" customWidth="1"/>
    <col min="13832" max="13832" width="6.25" customWidth="1"/>
    <col min="13833" max="13833" width="5.75" customWidth="1"/>
    <col min="13834" max="13834" width="8.875" customWidth="1"/>
    <col min="13835" max="13835" width="14.75" customWidth="1"/>
    <col min="14081" max="14081" width="16.875" customWidth="1"/>
    <col min="14083" max="14083" width="12.125" customWidth="1"/>
    <col min="14084" max="14084" width="19.125" customWidth="1"/>
    <col min="14085" max="14085" width="8.125" customWidth="1"/>
    <col min="14086" max="14086" width="15.875" customWidth="1"/>
    <col min="14087" max="14087" width="8.25" customWidth="1"/>
    <col min="14088" max="14088" width="6.25" customWidth="1"/>
    <col min="14089" max="14089" width="5.75" customWidth="1"/>
    <col min="14090" max="14090" width="8.875" customWidth="1"/>
    <col min="14091" max="14091" width="14.75" customWidth="1"/>
    <col min="14337" max="14337" width="16.875" customWidth="1"/>
    <col min="14339" max="14339" width="12.125" customWidth="1"/>
    <col min="14340" max="14340" width="19.125" customWidth="1"/>
    <col min="14341" max="14341" width="8.125" customWidth="1"/>
    <col min="14342" max="14342" width="15.875" customWidth="1"/>
    <col min="14343" max="14343" width="8.25" customWidth="1"/>
    <col min="14344" max="14344" width="6.25" customWidth="1"/>
    <col min="14345" max="14345" width="5.75" customWidth="1"/>
    <col min="14346" max="14346" width="8.875" customWidth="1"/>
    <col min="14347" max="14347" width="14.75" customWidth="1"/>
    <col min="14593" max="14593" width="16.875" customWidth="1"/>
    <col min="14595" max="14595" width="12.125" customWidth="1"/>
    <col min="14596" max="14596" width="19.125" customWidth="1"/>
    <col min="14597" max="14597" width="8.125" customWidth="1"/>
    <col min="14598" max="14598" width="15.875" customWidth="1"/>
    <col min="14599" max="14599" width="8.25" customWidth="1"/>
    <col min="14600" max="14600" width="6.25" customWidth="1"/>
    <col min="14601" max="14601" width="5.75" customWidth="1"/>
    <col min="14602" max="14602" width="8.875" customWidth="1"/>
    <col min="14603" max="14603" width="14.75" customWidth="1"/>
    <col min="14849" max="14849" width="16.875" customWidth="1"/>
    <col min="14851" max="14851" width="12.125" customWidth="1"/>
    <col min="14852" max="14852" width="19.125" customWidth="1"/>
    <col min="14853" max="14853" width="8.125" customWidth="1"/>
    <col min="14854" max="14854" width="15.875" customWidth="1"/>
    <col min="14855" max="14855" width="8.25" customWidth="1"/>
    <col min="14856" max="14856" width="6.25" customWidth="1"/>
    <col min="14857" max="14857" width="5.75" customWidth="1"/>
    <col min="14858" max="14858" width="8.875" customWidth="1"/>
    <col min="14859" max="14859" width="14.75" customWidth="1"/>
    <col min="15105" max="15105" width="16.875" customWidth="1"/>
    <col min="15107" max="15107" width="12.125" customWidth="1"/>
    <col min="15108" max="15108" width="19.125" customWidth="1"/>
    <col min="15109" max="15109" width="8.125" customWidth="1"/>
    <col min="15110" max="15110" width="15.875" customWidth="1"/>
    <col min="15111" max="15111" width="8.25" customWidth="1"/>
    <col min="15112" max="15112" width="6.25" customWidth="1"/>
    <col min="15113" max="15113" width="5.75" customWidth="1"/>
    <col min="15114" max="15114" width="8.875" customWidth="1"/>
    <col min="15115" max="15115" width="14.75" customWidth="1"/>
    <col min="15361" max="15361" width="16.875" customWidth="1"/>
    <col min="15363" max="15363" width="12.125" customWidth="1"/>
    <col min="15364" max="15364" width="19.125" customWidth="1"/>
    <col min="15365" max="15365" width="8.125" customWidth="1"/>
    <col min="15366" max="15366" width="15.875" customWidth="1"/>
    <col min="15367" max="15367" width="8.25" customWidth="1"/>
    <col min="15368" max="15368" width="6.25" customWidth="1"/>
    <col min="15369" max="15369" width="5.75" customWidth="1"/>
    <col min="15370" max="15370" width="8.875" customWidth="1"/>
    <col min="15371" max="15371" width="14.75" customWidth="1"/>
    <col min="15617" max="15617" width="16.875" customWidth="1"/>
    <col min="15619" max="15619" width="12.125" customWidth="1"/>
    <col min="15620" max="15620" width="19.125" customWidth="1"/>
    <col min="15621" max="15621" width="8.125" customWidth="1"/>
    <col min="15622" max="15622" width="15.875" customWidth="1"/>
    <col min="15623" max="15623" width="8.25" customWidth="1"/>
    <col min="15624" max="15624" width="6.25" customWidth="1"/>
    <col min="15625" max="15625" width="5.75" customWidth="1"/>
    <col min="15626" max="15626" width="8.875" customWidth="1"/>
    <col min="15627" max="15627" width="14.75" customWidth="1"/>
    <col min="15873" max="15873" width="16.875" customWidth="1"/>
    <col min="15875" max="15875" width="12.125" customWidth="1"/>
    <col min="15876" max="15876" width="19.125" customWidth="1"/>
    <col min="15877" max="15877" width="8.125" customWidth="1"/>
    <col min="15878" max="15878" width="15.875" customWidth="1"/>
    <col min="15879" max="15879" width="8.25" customWidth="1"/>
    <col min="15880" max="15880" width="6.25" customWidth="1"/>
    <col min="15881" max="15881" width="5.75" customWidth="1"/>
    <col min="15882" max="15882" width="8.875" customWidth="1"/>
    <col min="15883" max="15883" width="14.75" customWidth="1"/>
    <col min="16129" max="16129" width="16.875" customWidth="1"/>
    <col min="16131" max="16131" width="12.125" customWidth="1"/>
    <col min="16132" max="16132" width="19.125" customWidth="1"/>
    <col min="16133" max="16133" width="8.125" customWidth="1"/>
    <col min="16134" max="16134" width="15.875" customWidth="1"/>
    <col min="16135" max="16135" width="8.25" customWidth="1"/>
    <col min="16136" max="16136" width="6.25" customWidth="1"/>
    <col min="16137" max="16137" width="5.75" customWidth="1"/>
    <col min="16138" max="16138" width="8.875" customWidth="1"/>
    <col min="16139" max="16139" width="14.75" customWidth="1"/>
  </cols>
  <sheetData>
    <row r="1" spans="1:11" ht="12.95" customHeight="1" x14ac:dyDescent="0.2">
      <c r="A1" s="93" t="s">
        <v>664</v>
      </c>
      <c r="B1" s="94" t="s">
        <v>763</v>
      </c>
      <c r="C1" s="106" t="s">
        <v>764</v>
      </c>
      <c r="D1" s="93" t="s">
        <v>665</v>
      </c>
      <c r="E1" s="95" t="s">
        <v>666</v>
      </c>
      <c r="F1" s="97" t="s">
        <v>667</v>
      </c>
      <c r="G1" s="96"/>
      <c r="H1" s="96"/>
      <c r="I1" s="96"/>
      <c r="J1" s="96"/>
      <c r="K1" s="96"/>
    </row>
    <row r="2" spans="1:11" ht="15.95" customHeight="1" x14ac:dyDescent="0.2">
      <c r="A2" s="99">
        <v>46082</v>
      </c>
      <c r="B2" s="100">
        <v>0.3125</v>
      </c>
      <c r="C2" s="107">
        <f>(B3-B2)/TIME(7,0,0)</f>
        <v>1.0000000000000009</v>
      </c>
      <c r="D2" s="101" t="s">
        <v>173</v>
      </c>
      <c r="E2" s="102" t="s">
        <v>490</v>
      </c>
      <c r="F2" s="103" t="s">
        <v>668</v>
      </c>
      <c r="G2" s="104"/>
      <c r="H2" s="104"/>
      <c r="I2" s="104"/>
      <c r="J2" s="104"/>
      <c r="K2" s="104"/>
    </row>
    <row r="3" spans="1:11" ht="15.95" customHeight="1" x14ac:dyDescent="0.2">
      <c r="A3" s="99">
        <v>46082</v>
      </c>
      <c r="B3" s="100">
        <v>0.60416666666666696</v>
      </c>
      <c r="D3" s="101" t="s">
        <v>173</v>
      </c>
      <c r="E3" s="102" t="s">
        <v>490</v>
      </c>
      <c r="F3" s="103" t="s">
        <v>668</v>
      </c>
      <c r="G3" s="104"/>
      <c r="H3" s="104"/>
      <c r="I3" s="104"/>
      <c r="J3" s="104"/>
      <c r="K3" s="104"/>
    </row>
    <row r="4" spans="1:11" ht="15.95" customHeight="1" x14ac:dyDescent="0.2">
      <c r="A4" s="99">
        <v>46082</v>
      </c>
      <c r="B4" s="100">
        <v>0.3125</v>
      </c>
      <c r="C4" s="107">
        <f>(B5-B4)/TIME(7,0,0)</f>
        <v>1.0000000000000009</v>
      </c>
      <c r="D4" s="101" t="s">
        <v>5</v>
      </c>
      <c r="E4" s="102" t="s">
        <v>645</v>
      </c>
      <c r="F4" s="103" t="s">
        <v>672</v>
      </c>
      <c r="G4" s="104"/>
      <c r="H4" s="104"/>
      <c r="I4" s="104"/>
      <c r="J4" s="104"/>
      <c r="K4" s="104"/>
    </row>
    <row r="5" spans="1:11" ht="15.95" customHeight="1" x14ac:dyDescent="0.2">
      <c r="A5" s="99">
        <v>46082</v>
      </c>
      <c r="B5" s="100">
        <v>0.60416666666666696</v>
      </c>
      <c r="D5" s="101" t="s">
        <v>5</v>
      </c>
      <c r="E5" s="102" t="s">
        <v>645</v>
      </c>
      <c r="F5" s="103" t="s">
        <v>672</v>
      </c>
      <c r="G5" s="104"/>
      <c r="H5" s="104"/>
      <c r="I5" s="104"/>
      <c r="J5" s="104"/>
      <c r="K5" s="104"/>
    </row>
    <row r="6" spans="1:11" ht="15.95" customHeight="1" x14ac:dyDescent="0.2">
      <c r="A6" s="99">
        <v>46082</v>
      </c>
      <c r="B6" s="100">
        <v>0.3125</v>
      </c>
      <c r="C6" s="107">
        <f>(B7-B6)/TIME(7,0,0)</f>
        <v>1.0000000000000009</v>
      </c>
      <c r="D6" s="101" t="s">
        <v>26</v>
      </c>
      <c r="E6" s="102" t="s">
        <v>349</v>
      </c>
      <c r="F6" s="103" t="s">
        <v>668</v>
      </c>
      <c r="G6" s="104"/>
      <c r="H6" s="104"/>
      <c r="I6" s="104"/>
      <c r="J6" s="104"/>
      <c r="K6" s="104"/>
    </row>
    <row r="7" spans="1:11" ht="15.95" customHeight="1" x14ac:dyDescent="0.2">
      <c r="A7" s="99">
        <v>46082</v>
      </c>
      <c r="B7" s="100">
        <v>0.60416666666666696</v>
      </c>
      <c r="D7" s="101" t="s">
        <v>26</v>
      </c>
      <c r="E7" s="102" t="s">
        <v>349</v>
      </c>
      <c r="F7" s="103" t="s">
        <v>668</v>
      </c>
      <c r="G7" s="104"/>
      <c r="H7" s="104"/>
      <c r="I7" s="104"/>
      <c r="J7" s="104"/>
      <c r="K7" s="104"/>
    </row>
    <row r="8" spans="1:11" ht="15.95" customHeight="1" x14ac:dyDescent="0.2">
      <c r="A8" s="99">
        <v>46082</v>
      </c>
      <c r="B8" s="100">
        <v>0.20833333333333301</v>
      </c>
      <c r="C8" s="108"/>
      <c r="D8" s="101" t="s">
        <v>296</v>
      </c>
      <c r="E8" s="102" t="s">
        <v>605</v>
      </c>
      <c r="F8" s="103" t="s">
        <v>296</v>
      </c>
      <c r="G8" s="104"/>
      <c r="H8" s="104"/>
      <c r="I8" s="104"/>
      <c r="J8" s="104"/>
      <c r="K8" s="104"/>
    </row>
    <row r="9" spans="1:11" ht="15.95" customHeight="1" x14ac:dyDescent="0.2">
      <c r="A9" s="99">
        <v>46081</v>
      </c>
      <c r="B9" s="100">
        <v>0.91666666666666663</v>
      </c>
      <c r="C9" s="108">
        <f>IF(B8&lt;B9,B8+1-B9,B8-B9)/TIME(7,0,0)</f>
        <v>0.999999999999999</v>
      </c>
      <c r="D9" s="101" t="s">
        <v>296</v>
      </c>
      <c r="E9" s="102" t="s">
        <v>605</v>
      </c>
      <c r="F9" s="103" t="s">
        <v>296</v>
      </c>
      <c r="G9" s="104"/>
      <c r="H9" s="104"/>
      <c r="I9" s="104"/>
      <c r="J9" s="104"/>
      <c r="K9" s="104"/>
    </row>
    <row r="10" spans="1:11" ht="15.95" customHeight="1" x14ac:dyDescent="0.2">
      <c r="A10" s="99">
        <v>46082</v>
      </c>
      <c r="B10" s="100">
        <v>0.3125</v>
      </c>
      <c r="C10" s="107">
        <f>(B11-B10)/TIME(7,0,0)</f>
        <v>1.0000000000000009</v>
      </c>
      <c r="D10" s="101" t="s">
        <v>278</v>
      </c>
      <c r="E10" s="102" t="s">
        <v>586</v>
      </c>
      <c r="F10" s="103" t="s">
        <v>275</v>
      </c>
      <c r="G10" s="104"/>
      <c r="H10" s="104"/>
      <c r="I10" s="104"/>
      <c r="J10" s="104"/>
      <c r="K10" s="104"/>
    </row>
    <row r="11" spans="1:11" ht="15.95" customHeight="1" x14ac:dyDescent="0.2">
      <c r="A11" s="99">
        <v>46082</v>
      </c>
      <c r="B11" s="100">
        <v>0.60416666666666696</v>
      </c>
      <c r="D11" s="101" t="s">
        <v>278</v>
      </c>
      <c r="E11" s="102" t="s">
        <v>586</v>
      </c>
      <c r="F11" s="103" t="s">
        <v>275</v>
      </c>
      <c r="G11" s="104"/>
      <c r="H11" s="104"/>
      <c r="I11" s="104"/>
      <c r="J11" s="104"/>
      <c r="K11" s="104"/>
    </row>
    <row r="12" spans="1:11" ht="15.95" customHeight="1" x14ac:dyDescent="0.2">
      <c r="A12" s="99">
        <v>46082</v>
      </c>
      <c r="B12" s="100">
        <v>0.3125</v>
      </c>
      <c r="C12" s="107">
        <f>(B13-B12)/TIME(7,0,0)</f>
        <v>0.99999999999999978</v>
      </c>
      <c r="D12" s="101" t="s">
        <v>8</v>
      </c>
      <c r="E12" s="102" t="s">
        <v>331</v>
      </c>
      <c r="F12" s="103" t="s">
        <v>672</v>
      </c>
      <c r="G12" s="104"/>
      <c r="H12" s="104"/>
      <c r="I12" s="104"/>
      <c r="J12" s="104"/>
      <c r="K12" s="104"/>
    </row>
    <row r="13" spans="1:11" ht="15.95" customHeight="1" x14ac:dyDescent="0.2">
      <c r="A13" s="99">
        <v>46082</v>
      </c>
      <c r="B13" s="100">
        <v>0.60416666666666663</v>
      </c>
      <c r="D13" s="101" t="s">
        <v>8</v>
      </c>
      <c r="E13" s="102" t="s">
        <v>331</v>
      </c>
      <c r="F13" s="103" t="s">
        <v>672</v>
      </c>
      <c r="G13" s="104"/>
      <c r="H13" s="104"/>
      <c r="I13" s="104"/>
      <c r="J13" s="104"/>
      <c r="K13" s="104"/>
    </row>
    <row r="14" spans="1:11" ht="15.95" customHeight="1" x14ac:dyDescent="0.2">
      <c r="A14" s="99">
        <v>46082</v>
      </c>
      <c r="B14" s="100">
        <v>0.3125</v>
      </c>
      <c r="C14" s="107">
        <f>(B15-B14)/TIME(7,0,0)</f>
        <v>1.0000000000000009</v>
      </c>
      <c r="D14" s="101" t="s">
        <v>265</v>
      </c>
      <c r="E14" s="102" t="s">
        <v>575</v>
      </c>
      <c r="F14" s="103" t="s">
        <v>766</v>
      </c>
      <c r="G14" s="104"/>
      <c r="H14" s="104"/>
      <c r="I14" s="104"/>
      <c r="J14" s="104"/>
      <c r="K14" s="104"/>
    </row>
    <row r="15" spans="1:11" ht="15.95" customHeight="1" x14ac:dyDescent="0.2">
      <c r="A15" s="99">
        <v>46082</v>
      </c>
      <c r="B15" s="100">
        <v>0.60416666666666696</v>
      </c>
      <c r="D15" s="101" t="s">
        <v>265</v>
      </c>
      <c r="E15" s="102" t="s">
        <v>575</v>
      </c>
      <c r="F15" s="103" t="s">
        <v>766</v>
      </c>
      <c r="G15" s="104"/>
      <c r="H15" s="104"/>
      <c r="I15" s="104"/>
      <c r="J15" s="104"/>
      <c r="K15" s="104"/>
    </row>
    <row r="16" spans="1:11" ht="15.95" customHeight="1" x14ac:dyDescent="0.2">
      <c r="A16" s="99">
        <v>46082</v>
      </c>
      <c r="B16" s="100">
        <v>0.20833333333333301</v>
      </c>
      <c r="C16" s="108"/>
      <c r="D16" s="101" t="s">
        <v>221</v>
      </c>
      <c r="E16" s="102" t="s">
        <v>536</v>
      </c>
      <c r="F16" s="103" t="s">
        <v>221</v>
      </c>
      <c r="G16" s="104"/>
      <c r="H16" s="104"/>
      <c r="I16" s="104"/>
      <c r="J16" s="104"/>
      <c r="K16" s="104"/>
    </row>
    <row r="17" spans="1:11" ht="15.95" customHeight="1" x14ac:dyDescent="0.2">
      <c r="A17" s="99">
        <v>46081</v>
      </c>
      <c r="B17" s="100">
        <v>0.91666666666666663</v>
      </c>
      <c r="C17" s="108">
        <f>IF(B16&lt;B17,B16+1-B17,B16-B17)/TIME(7,0,0)</f>
        <v>0.999999999999999</v>
      </c>
      <c r="D17" s="101" t="s">
        <v>221</v>
      </c>
      <c r="E17" s="102" t="s">
        <v>536</v>
      </c>
      <c r="F17" s="103" t="s">
        <v>221</v>
      </c>
      <c r="G17" s="104"/>
      <c r="H17" s="104"/>
      <c r="I17" s="104"/>
      <c r="J17" s="104"/>
      <c r="K17" s="104"/>
    </row>
    <row r="18" spans="1:11" ht="15.95" customHeight="1" x14ac:dyDescent="0.2">
      <c r="A18" s="99">
        <v>46082</v>
      </c>
      <c r="B18" s="100">
        <v>0.3125</v>
      </c>
      <c r="C18" s="107">
        <f>(B19-B18)/TIME(7,0,0)</f>
        <v>1.0000000000000009</v>
      </c>
      <c r="D18" s="101" t="s">
        <v>271</v>
      </c>
      <c r="E18" s="102" t="s">
        <v>581</v>
      </c>
      <c r="F18" s="103" t="s">
        <v>232</v>
      </c>
      <c r="G18" s="104"/>
      <c r="H18" s="104"/>
      <c r="I18" s="104"/>
      <c r="J18" s="104"/>
      <c r="K18" s="104"/>
    </row>
    <row r="19" spans="1:11" ht="15.95" customHeight="1" x14ac:dyDescent="0.2">
      <c r="A19" s="99">
        <v>46082</v>
      </c>
      <c r="B19" s="100">
        <v>0.60416666666666696</v>
      </c>
      <c r="D19" s="101" t="s">
        <v>271</v>
      </c>
      <c r="E19" s="102" t="s">
        <v>581</v>
      </c>
      <c r="F19" s="103" t="s">
        <v>232</v>
      </c>
      <c r="G19" s="104"/>
      <c r="H19" s="104"/>
      <c r="I19" s="104"/>
      <c r="J19" s="104"/>
      <c r="K19" s="104"/>
    </row>
    <row r="20" spans="1:11" ht="15.95" customHeight="1" x14ac:dyDescent="0.2">
      <c r="A20" s="99">
        <v>46082</v>
      </c>
      <c r="B20" s="100">
        <v>0.3125</v>
      </c>
      <c r="C20" s="107">
        <f>(B21-B20)/TIME(7,0,0)</f>
        <v>1.0000000000000009</v>
      </c>
      <c r="D20" s="101" t="s">
        <v>189</v>
      </c>
      <c r="E20" s="102" t="s">
        <v>507</v>
      </c>
      <c r="F20" s="103" t="s">
        <v>180</v>
      </c>
      <c r="G20" s="104"/>
      <c r="H20" s="104"/>
      <c r="I20" s="104"/>
      <c r="J20" s="104"/>
      <c r="K20" s="104"/>
    </row>
    <row r="21" spans="1:11" ht="15.95" customHeight="1" x14ac:dyDescent="0.2">
      <c r="A21" s="99">
        <v>46082</v>
      </c>
      <c r="B21" s="100">
        <v>0.60416666666666696</v>
      </c>
      <c r="D21" s="101" t="s">
        <v>189</v>
      </c>
      <c r="E21" s="102" t="s">
        <v>507</v>
      </c>
      <c r="F21" s="103" t="s">
        <v>180</v>
      </c>
      <c r="G21" s="104"/>
      <c r="H21" s="104"/>
      <c r="I21" s="104"/>
      <c r="J21" s="104"/>
      <c r="K21" s="104"/>
    </row>
    <row r="22" spans="1:11" ht="15.95" customHeight="1" x14ac:dyDescent="0.2">
      <c r="A22" s="99">
        <v>46082</v>
      </c>
      <c r="B22" s="100">
        <v>0.20833333333333301</v>
      </c>
      <c r="C22" s="108"/>
      <c r="D22" s="101" t="s">
        <v>669</v>
      </c>
      <c r="E22" s="102" t="s">
        <v>610</v>
      </c>
      <c r="F22" s="103" t="s">
        <v>669</v>
      </c>
      <c r="G22" s="104"/>
      <c r="H22" s="104"/>
      <c r="I22" s="104"/>
      <c r="J22" s="104"/>
      <c r="K22" s="104"/>
    </row>
    <row r="23" spans="1:11" ht="15.95" customHeight="1" x14ac:dyDescent="0.2">
      <c r="A23" s="99">
        <v>46081</v>
      </c>
      <c r="B23" s="100">
        <v>0.91666666666666663</v>
      </c>
      <c r="C23" s="108">
        <f>IF(B22&lt;B23,B22+1-B23,B22-B23)/TIME(7,0,0)</f>
        <v>0.999999999999999</v>
      </c>
      <c r="D23" s="101" t="s">
        <v>669</v>
      </c>
      <c r="E23" s="102" t="s">
        <v>610</v>
      </c>
      <c r="F23" s="103" t="s">
        <v>669</v>
      </c>
      <c r="G23" s="104"/>
      <c r="H23" s="104"/>
      <c r="I23" s="104"/>
      <c r="J23" s="104"/>
      <c r="K23" s="104"/>
    </row>
    <row r="24" spans="1:11" ht="15.95" customHeight="1" x14ac:dyDescent="0.2">
      <c r="A24" s="99">
        <v>46082</v>
      </c>
      <c r="B24" s="100">
        <v>0.3125</v>
      </c>
      <c r="C24" s="107">
        <f>(B25-B24)/TIME(7,0,0)</f>
        <v>1.0000000000000009</v>
      </c>
      <c r="D24" s="101" t="s">
        <v>46</v>
      </c>
      <c r="E24" s="102" t="s">
        <v>368</v>
      </c>
      <c r="F24" s="103" t="s">
        <v>42</v>
      </c>
      <c r="G24" s="104"/>
      <c r="H24" s="104"/>
      <c r="I24" s="104"/>
      <c r="J24" s="104"/>
      <c r="K24" s="104"/>
    </row>
    <row r="25" spans="1:11" ht="15.95" customHeight="1" x14ac:dyDescent="0.2">
      <c r="A25" s="99">
        <v>46082</v>
      </c>
      <c r="B25" s="100">
        <v>0.60416666666666696</v>
      </c>
      <c r="D25" s="101" t="s">
        <v>46</v>
      </c>
      <c r="E25" s="102" t="s">
        <v>368</v>
      </c>
      <c r="F25" s="103" t="s">
        <v>42</v>
      </c>
      <c r="G25" s="104"/>
      <c r="H25" s="104"/>
      <c r="I25" s="104"/>
      <c r="J25" s="104"/>
      <c r="K25" s="104"/>
    </row>
    <row r="26" spans="1:11" ht="15.95" customHeight="1" x14ac:dyDescent="0.2">
      <c r="A26" s="99">
        <v>46082</v>
      </c>
      <c r="B26" s="100">
        <v>0.3125</v>
      </c>
      <c r="C26" s="107">
        <f>(B27-B26)/TIME(7,0,0)</f>
        <v>1.0000000000000009</v>
      </c>
      <c r="D26" s="101" t="s">
        <v>735</v>
      </c>
      <c r="E26" s="102" t="s">
        <v>429</v>
      </c>
      <c r="F26" s="103" t="s">
        <v>668</v>
      </c>
      <c r="G26" s="104"/>
      <c r="H26" s="104"/>
      <c r="I26" s="104"/>
      <c r="J26" s="104"/>
      <c r="K26" s="104"/>
    </row>
    <row r="27" spans="1:11" ht="15.95" customHeight="1" x14ac:dyDescent="0.2">
      <c r="A27" s="99">
        <v>46082</v>
      </c>
      <c r="B27" s="100">
        <v>0.60416666666666696</v>
      </c>
      <c r="D27" s="101" t="s">
        <v>735</v>
      </c>
      <c r="E27" s="102" t="s">
        <v>429</v>
      </c>
      <c r="F27" s="103" t="s">
        <v>668</v>
      </c>
      <c r="G27" s="104"/>
      <c r="H27" s="104"/>
      <c r="I27" s="104"/>
      <c r="J27" s="104"/>
      <c r="K27" s="104"/>
    </row>
    <row r="28" spans="1:11" ht="15.95" customHeight="1" x14ac:dyDescent="0.2">
      <c r="A28" s="99">
        <v>46082</v>
      </c>
      <c r="B28" s="100">
        <v>0.3125</v>
      </c>
      <c r="C28" s="107">
        <f>(B29-B28)/TIME(7,0,0)</f>
        <v>1.0000000000000009</v>
      </c>
      <c r="D28" s="101" t="s">
        <v>79</v>
      </c>
      <c r="E28" s="102" t="s">
        <v>401</v>
      </c>
      <c r="F28" s="103" t="s">
        <v>674</v>
      </c>
      <c r="G28" s="104"/>
      <c r="H28" s="104"/>
      <c r="I28" s="104"/>
      <c r="J28" s="104"/>
      <c r="K28" s="104"/>
    </row>
    <row r="29" spans="1:11" ht="15.95" customHeight="1" x14ac:dyDescent="0.2">
      <c r="A29" s="99">
        <v>46082</v>
      </c>
      <c r="B29" s="100">
        <v>0.60416666666666696</v>
      </c>
      <c r="D29" s="101" t="s">
        <v>79</v>
      </c>
      <c r="E29" s="102" t="s">
        <v>401</v>
      </c>
      <c r="F29" s="103" t="s">
        <v>674</v>
      </c>
      <c r="G29" s="104"/>
      <c r="H29" s="104"/>
      <c r="I29" s="104"/>
      <c r="J29" s="104"/>
      <c r="K29" s="104"/>
    </row>
    <row r="30" spans="1:11" ht="15.95" customHeight="1" x14ac:dyDescent="0.2">
      <c r="A30" s="99">
        <v>46082</v>
      </c>
      <c r="B30" s="100">
        <v>0.3125</v>
      </c>
      <c r="C30" s="107">
        <f>(B31-B30)/TIME(7,0,0)</f>
        <v>1.0000000000000009</v>
      </c>
      <c r="D30" s="101" t="s">
        <v>164</v>
      </c>
      <c r="E30" s="102" t="s">
        <v>482</v>
      </c>
      <c r="F30" s="103" t="s">
        <v>155</v>
      </c>
      <c r="G30" s="104"/>
      <c r="H30" s="104"/>
      <c r="I30" s="104"/>
      <c r="J30" s="104"/>
      <c r="K30" s="104"/>
    </row>
    <row r="31" spans="1:11" ht="15.95" customHeight="1" x14ac:dyDescent="0.2">
      <c r="A31" s="99">
        <v>46082</v>
      </c>
      <c r="B31" s="100">
        <v>0.60416666666666696</v>
      </c>
      <c r="D31" s="101" t="s">
        <v>164</v>
      </c>
      <c r="E31" s="102" t="s">
        <v>482</v>
      </c>
      <c r="F31" s="103" t="s">
        <v>155</v>
      </c>
      <c r="G31" s="104"/>
      <c r="H31" s="104"/>
      <c r="I31" s="104"/>
      <c r="J31" s="104"/>
      <c r="K31" s="104"/>
    </row>
    <row r="32" spans="1:11" ht="15.95" customHeight="1" x14ac:dyDescent="0.2">
      <c r="A32" s="99">
        <v>46082</v>
      </c>
      <c r="B32" s="100">
        <v>0.34375</v>
      </c>
      <c r="C32" s="107">
        <v>0.89</v>
      </c>
      <c r="D32" s="101" t="s">
        <v>222</v>
      </c>
      <c r="E32" s="102" t="s">
        <v>537</v>
      </c>
      <c r="F32" s="103" t="s">
        <v>216</v>
      </c>
      <c r="G32" s="104"/>
      <c r="H32" s="104"/>
      <c r="I32" s="104"/>
      <c r="J32" s="104"/>
      <c r="K32" s="104"/>
    </row>
    <row r="33" spans="1:11" ht="15.95" customHeight="1" x14ac:dyDescent="0.2">
      <c r="A33" s="99">
        <v>46082</v>
      </c>
      <c r="B33" s="100">
        <v>0.60416666666666696</v>
      </c>
      <c r="D33" s="101" t="s">
        <v>222</v>
      </c>
      <c r="E33" s="102" t="s">
        <v>537</v>
      </c>
      <c r="F33" s="103" t="s">
        <v>216</v>
      </c>
      <c r="G33" s="104"/>
      <c r="H33" s="104"/>
      <c r="I33" s="104"/>
      <c r="J33" s="104"/>
      <c r="K33" s="104"/>
    </row>
    <row r="34" spans="1:11" ht="15.95" customHeight="1" x14ac:dyDescent="0.2">
      <c r="A34" s="99">
        <v>46082</v>
      </c>
      <c r="B34" s="100">
        <v>0.3125</v>
      </c>
      <c r="C34" s="107">
        <f>(B35-B34)/TIME(7,0,0)</f>
        <v>1.0000000000000009</v>
      </c>
      <c r="D34" s="101" t="s">
        <v>688</v>
      </c>
      <c r="E34" s="102" t="s">
        <v>427</v>
      </c>
      <c r="F34" s="103" t="s">
        <v>101</v>
      </c>
      <c r="G34" s="104"/>
      <c r="H34" s="104"/>
      <c r="I34" s="104"/>
      <c r="J34" s="104"/>
      <c r="K34" s="104"/>
    </row>
    <row r="35" spans="1:11" ht="15.95" customHeight="1" x14ac:dyDescent="0.2">
      <c r="A35" s="99">
        <v>46082</v>
      </c>
      <c r="B35" s="100">
        <v>0.60416666666666696</v>
      </c>
      <c r="D35" s="101" t="s">
        <v>688</v>
      </c>
      <c r="E35" s="102" t="s">
        <v>427</v>
      </c>
      <c r="F35" s="103" t="s">
        <v>101</v>
      </c>
      <c r="G35" s="104"/>
      <c r="H35" s="104"/>
      <c r="I35" s="104"/>
      <c r="J35" s="104"/>
      <c r="K35" s="104"/>
    </row>
    <row r="36" spans="1:11" ht="15.95" customHeight="1" x14ac:dyDescent="0.2">
      <c r="A36" s="99">
        <v>46082</v>
      </c>
      <c r="B36" s="100">
        <v>0.20833333333333301</v>
      </c>
      <c r="C36" s="108"/>
      <c r="D36" s="101" t="s">
        <v>306</v>
      </c>
      <c r="E36" s="102" t="s">
        <v>617</v>
      </c>
      <c r="F36" s="103" t="s">
        <v>306</v>
      </c>
      <c r="G36" s="104"/>
      <c r="H36" s="104"/>
      <c r="I36" s="104"/>
      <c r="J36" s="104"/>
      <c r="K36" s="104"/>
    </row>
    <row r="37" spans="1:11" ht="15.95" customHeight="1" x14ac:dyDescent="0.2">
      <c r="A37" s="99">
        <v>46081</v>
      </c>
      <c r="B37" s="100">
        <v>0.91666666666666663</v>
      </c>
      <c r="C37" s="108">
        <f>IF(B36&lt;B37,B36+1-B37,B36-B37)/TIME(7,0,0)</f>
        <v>0.999999999999999</v>
      </c>
      <c r="D37" s="101" t="s">
        <v>306</v>
      </c>
      <c r="E37" s="102" t="s">
        <v>617</v>
      </c>
      <c r="F37" s="103" t="s">
        <v>306</v>
      </c>
      <c r="G37" s="104"/>
      <c r="H37" s="104"/>
      <c r="I37" s="104"/>
      <c r="J37" s="104"/>
      <c r="K37" s="104"/>
    </row>
    <row r="38" spans="1:11" ht="15.95" customHeight="1" x14ac:dyDescent="0.2">
      <c r="A38" s="99">
        <v>46082</v>
      </c>
      <c r="B38" s="100">
        <v>0.3125</v>
      </c>
      <c r="C38" s="107">
        <f>(B39-B38)/TIME(7,0,0)</f>
        <v>1.0000000000000009</v>
      </c>
      <c r="D38" s="101" t="s">
        <v>684</v>
      </c>
      <c r="E38" s="102" t="s">
        <v>515</v>
      </c>
      <c r="F38" s="103" t="s">
        <v>192</v>
      </c>
      <c r="G38" s="104"/>
      <c r="H38" s="104"/>
      <c r="I38" s="104"/>
      <c r="J38" s="104"/>
      <c r="K38" s="104"/>
    </row>
    <row r="39" spans="1:11" ht="15.95" customHeight="1" x14ac:dyDescent="0.2">
      <c r="A39" s="99">
        <v>46082</v>
      </c>
      <c r="B39" s="100">
        <v>0.60416666666666696</v>
      </c>
      <c r="D39" s="101" t="s">
        <v>684</v>
      </c>
      <c r="E39" s="102" t="s">
        <v>515</v>
      </c>
      <c r="F39" s="103" t="s">
        <v>192</v>
      </c>
      <c r="G39" s="104"/>
      <c r="H39" s="104"/>
      <c r="I39" s="104"/>
      <c r="J39" s="104"/>
      <c r="K39" s="104"/>
    </row>
    <row r="40" spans="1:11" ht="15.95" customHeight="1" x14ac:dyDescent="0.2">
      <c r="A40" s="99">
        <v>46082</v>
      </c>
      <c r="B40" s="100">
        <v>0.3125</v>
      </c>
      <c r="C40" s="107">
        <f>(B41-B40)/TIME(7,0,0)</f>
        <v>1.0000000000000009</v>
      </c>
      <c r="D40" s="101" t="s">
        <v>143</v>
      </c>
      <c r="E40" s="102" t="s">
        <v>464</v>
      </c>
      <c r="F40" s="103" t="s">
        <v>224</v>
      </c>
      <c r="G40" s="104"/>
      <c r="H40" s="104"/>
      <c r="I40" s="104"/>
      <c r="J40" s="104"/>
      <c r="K40" s="104"/>
    </row>
    <row r="41" spans="1:11" ht="15.95" customHeight="1" x14ac:dyDescent="0.2">
      <c r="A41" s="99">
        <v>46082</v>
      </c>
      <c r="B41" s="100">
        <v>0.60416666666666696</v>
      </c>
      <c r="D41" s="101" t="s">
        <v>143</v>
      </c>
      <c r="E41" s="102" t="s">
        <v>464</v>
      </c>
      <c r="F41" s="103" t="s">
        <v>224</v>
      </c>
      <c r="G41" s="104"/>
      <c r="H41" s="104"/>
      <c r="I41" s="104"/>
      <c r="J41" s="104"/>
      <c r="K41" s="104"/>
    </row>
    <row r="42" spans="1:11" ht="15.95" customHeight="1" x14ac:dyDescent="0.2">
      <c r="A42" s="99">
        <v>46082</v>
      </c>
      <c r="B42" s="100">
        <v>0.3125</v>
      </c>
      <c r="C42" s="107">
        <f>(B43-B42)/TIME(7,0,0)</f>
        <v>1.0000000000000009</v>
      </c>
      <c r="D42" s="101" t="s">
        <v>176</v>
      </c>
      <c r="E42" s="102" t="s">
        <v>493</v>
      </c>
      <c r="F42" s="103" t="s">
        <v>169</v>
      </c>
      <c r="G42" s="104"/>
      <c r="H42" s="104"/>
      <c r="I42" s="104"/>
      <c r="J42" s="104"/>
      <c r="K42" s="104"/>
    </row>
    <row r="43" spans="1:11" ht="15.95" customHeight="1" x14ac:dyDescent="0.2">
      <c r="A43" s="99">
        <v>46082</v>
      </c>
      <c r="B43" s="100">
        <v>0.60416666666666696</v>
      </c>
      <c r="D43" s="101" t="s">
        <v>176</v>
      </c>
      <c r="E43" s="102" t="s">
        <v>493</v>
      </c>
      <c r="F43" s="103" t="s">
        <v>169</v>
      </c>
      <c r="G43" s="104"/>
      <c r="H43" s="104"/>
      <c r="I43" s="104"/>
      <c r="J43" s="104"/>
      <c r="K43" s="104"/>
    </row>
    <row r="44" spans="1:11" ht="15.95" customHeight="1" x14ac:dyDescent="0.2">
      <c r="A44" s="99">
        <v>46082</v>
      </c>
      <c r="B44" s="100">
        <v>0.3125</v>
      </c>
      <c r="C44" s="107">
        <f>(B45-B44)/TIME(7,0,0)</f>
        <v>1.0000000000000009</v>
      </c>
      <c r="D44" s="101" t="s">
        <v>698</v>
      </c>
      <c r="E44" s="102" t="s">
        <v>526</v>
      </c>
      <c r="F44" s="103" t="s">
        <v>775</v>
      </c>
      <c r="G44" s="104"/>
      <c r="H44" s="104"/>
      <c r="I44" s="104"/>
      <c r="J44" s="104"/>
      <c r="K44" s="104"/>
    </row>
    <row r="45" spans="1:11" ht="15.95" customHeight="1" x14ac:dyDescent="0.2">
      <c r="A45" s="99">
        <v>46082</v>
      </c>
      <c r="B45" s="100">
        <v>0.60416666666666696</v>
      </c>
      <c r="D45" s="101" t="s">
        <v>698</v>
      </c>
      <c r="E45" s="102" t="s">
        <v>526</v>
      </c>
      <c r="F45" s="103" t="s">
        <v>775</v>
      </c>
      <c r="G45" s="104"/>
      <c r="H45" s="104"/>
      <c r="I45" s="104"/>
      <c r="J45" s="104"/>
      <c r="K45" s="104"/>
    </row>
    <row r="46" spans="1:11" ht="15.95" customHeight="1" x14ac:dyDescent="0.2">
      <c r="A46" s="99">
        <v>46082</v>
      </c>
      <c r="B46" s="100">
        <v>0.3125</v>
      </c>
      <c r="C46" s="107">
        <f>(B47-B46)/TIME(7,0,0)</f>
        <v>1.0000000000000009</v>
      </c>
      <c r="D46" s="101" t="s">
        <v>102</v>
      </c>
      <c r="E46" s="102" t="s">
        <v>426</v>
      </c>
      <c r="F46" s="103" t="s">
        <v>101</v>
      </c>
      <c r="G46" s="104"/>
      <c r="H46" s="104"/>
      <c r="I46" s="104"/>
      <c r="J46" s="104"/>
      <c r="K46" s="104"/>
    </row>
    <row r="47" spans="1:11" ht="15.95" customHeight="1" x14ac:dyDescent="0.2">
      <c r="A47" s="99">
        <v>46082</v>
      </c>
      <c r="B47" s="100">
        <v>0.60416666666666696</v>
      </c>
      <c r="D47" s="101" t="s">
        <v>102</v>
      </c>
      <c r="E47" s="102" t="s">
        <v>426</v>
      </c>
      <c r="F47" s="103" t="s">
        <v>101</v>
      </c>
      <c r="G47" s="104"/>
      <c r="H47" s="104"/>
      <c r="I47" s="104"/>
      <c r="J47" s="104"/>
      <c r="K47" s="104"/>
    </row>
    <row r="48" spans="1:11" ht="15.95" customHeight="1" x14ac:dyDescent="0.2">
      <c r="A48" s="99">
        <v>46082</v>
      </c>
      <c r="B48" s="100">
        <v>0.3125</v>
      </c>
      <c r="C48" s="107">
        <f>(B49-B48)/TIME(7,0,0)</f>
        <v>1.0000000000000009</v>
      </c>
      <c r="D48" s="101" t="s">
        <v>739</v>
      </c>
      <c r="E48" s="102" t="s">
        <v>655</v>
      </c>
      <c r="F48" s="103" t="s">
        <v>786</v>
      </c>
      <c r="G48" s="104"/>
      <c r="H48" s="104"/>
      <c r="I48" s="104"/>
      <c r="J48" s="104"/>
      <c r="K48" s="104"/>
    </row>
    <row r="49" spans="1:11" ht="15.95" customHeight="1" x14ac:dyDescent="0.2">
      <c r="A49" s="99">
        <v>46082</v>
      </c>
      <c r="B49" s="100">
        <v>0.60416666666666696</v>
      </c>
      <c r="D49" s="101" t="s">
        <v>739</v>
      </c>
      <c r="E49" s="102" t="s">
        <v>655</v>
      </c>
      <c r="F49" s="103" t="s">
        <v>786</v>
      </c>
      <c r="G49" s="104"/>
      <c r="H49" s="104"/>
      <c r="I49" s="104"/>
      <c r="J49" s="104"/>
      <c r="K49" s="104"/>
    </row>
    <row r="50" spans="1:11" ht="15.95" customHeight="1" x14ac:dyDescent="0.2">
      <c r="A50" s="99">
        <v>46082</v>
      </c>
      <c r="B50" s="100">
        <v>0.3125</v>
      </c>
      <c r="C50" s="107">
        <f>(B51-B50)/TIME(7,0,0)</f>
        <v>1.0000000000000009</v>
      </c>
      <c r="D50" s="101" t="s">
        <v>704</v>
      </c>
      <c r="E50" s="102" t="s">
        <v>413</v>
      </c>
      <c r="F50" s="103"/>
      <c r="G50" s="104"/>
      <c r="H50" s="104"/>
      <c r="I50" s="104"/>
      <c r="J50" s="104"/>
      <c r="K50" s="104"/>
    </row>
    <row r="51" spans="1:11" ht="15.95" customHeight="1" x14ac:dyDescent="0.2">
      <c r="A51" s="99">
        <v>46082</v>
      </c>
      <c r="B51" s="100">
        <v>0.60416666666666696</v>
      </c>
      <c r="D51" s="101" t="s">
        <v>704</v>
      </c>
      <c r="E51" s="102" t="s">
        <v>413</v>
      </c>
      <c r="F51" s="103"/>
      <c r="G51" s="104"/>
      <c r="H51" s="104"/>
      <c r="I51" s="104"/>
      <c r="J51" s="104"/>
      <c r="K51" s="104"/>
    </row>
    <row r="52" spans="1:11" ht="15.95" customHeight="1" x14ac:dyDescent="0.2">
      <c r="A52" s="99">
        <v>46082</v>
      </c>
      <c r="B52" s="100">
        <v>0.3125</v>
      </c>
      <c r="C52" s="107">
        <f>(B53-B52)/TIME(7,0,0)</f>
        <v>1.0000000000000009</v>
      </c>
      <c r="D52" s="101" t="s">
        <v>194</v>
      </c>
      <c r="E52" s="102" t="s">
        <v>511</v>
      </c>
      <c r="F52" s="103" t="s">
        <v>155</v>
      </c>
      <c r="G52" s="104"/>
      <c r="H52" s="104"/>
      <c r="I52" s="104"/>
      <c r="J52" s="104"/>
      <c r="K52" s="104"/>
    </row>
    <row r="53" spans="1:11" ht="15.95" customHeight="1" x14ac:dyDescent="0.2">
      <c r="A53" s="99">
        <v>46082</v>
      </c>
      <c r="B53" s="100">
        <v>0.60416666666666696</v>
      </c>
      <c r="D53" s="101" t="s">
        <v>194</v>
      </c>
      <c r="E53" s="102" t="s">
        <v>511</v>
      </c>
      <c r="F53" s="103" t="s">
        <v>155</v>
      </c>
      <c r="G53" s="104"/>
      <c r="H53" s="104"/>
      <c r="I53" s="104"/>
      <c r="J53" s="104"/>
      <c r="K53" s="104"/>
    </row>
    <row r="54" spans="1:11" ht="15.95" customHeight="1" x14ac:dyDescent="0.2">
      <c r="A54" s="99">
        <v>46082</v>
      </c>
      <c r="B54" s="100">
        <v>0.3125</v>
      </c>
      <c r="C54" s="107">
        <f>(B55-B54)/TIME(7,0,0)</f>
        <v>1.0000000000000009</v>
      </c>
      <c r="D54" s="101" t="s">
        <v>137</v>
      </c>
      <c r="E54" s="102" t="s">
        <v>459</v>
      </c>
      <c r="F54" s="103" t="s">
        <v>790</v>
      </c>
      <c r="G54" s="104"/>
      <c r="H54" s="104"/>
      <c r="I54" s="104"/>
      <c r="J54" s="104"/>
      <c r="K54" s="104"/>
    </row>
    <row r="55" spans="1:11" ht="15.95" customHeight="1" x14ac:dyDescent="0.2">
      <c r="A55" s="99">
        <v>46082</v>
      </c>
      <c r="B55" s="100">
        <v>0.60416666666666696</v>
      </c>
      <c r="D55" s="101" t="s">
        <v>137</v>
      </c>
      <c r="E55" s="102" t="s">
        <v>459</v>
      </c>
      <c r="F55" s="103" t="s">
        <v>790</v>
      </c>
      <c r="G55" s="104"/>
      <c r="H55" s="104"/>
      <c r="I55" s="104"/>
      <c r="J55" s="104"/>
      <c r="K55" s="104"/>
    </row>
    <row r="56" spans="1:11" ht="15.95" customHeight="1" x14ac:dyDescent="0.2">
      <c r="A56" s="99">
        <v>46082</v>
      </c>
      <c r="B56" s="100">
        <v>0.3125</v>
      </c>
      <c r="C56" s="107">
        <f>(B57-B56)/TIME(7,0,0)</f>
        <v>1.0000000000000009</v>
      </c>
      <c r="D56" s="101" t="s">
        <v>97</v>
      </c>
      <c r="E56" s="102" t="s">
        <v>422</v>
      </c>
      <c r="F56" s="103" t="s">
        <v>674</v>
      </c>
      <c r="G56" s="104"/>
      <c r="H56" s="104"/>
      <c r="I56" s="104"/>
      <c r="J56" s="104"/>
      <c r="K56" s="104"/>
    </row>
    <row r="57" spans="1:11" ht="15.95" customHeight="1" x14ac:dyDescent="0.2">
      <c r="A57" s="99">
        <v>46082</v>
      </c>
      <c r="B57" s="100">
        <v>0.60416666666666696</v>
      </c>
      <c r="D57" s="101" t="s">
        <v>97</v>
      </c>
      <c r="E57" s="102" t="s">
        <v>422</v>
      </c>
      <c r="F57" s="103" t="s">
        <v>674</v>
      </c>
      <c r="G57" s="104"/>
      <c r="H57" s="104"/>
      <c r="I57" s="104"/>
      <c r="J57" s="104"/>
      <c r="K57" s="104"/>
    </row>
    <row r="58" spans="1:11" ht="15.95" customHeight="1" x14ac:dyDescent="0.2">
      <c r="A58" s="99">
        <v>46082</v>
      </c>
      <c r="B58" s="100">
        <v>0.3125</v>
      </c>
      <c r="C58" s="107">
        <f>(B59-B58)/TIME(7,0,0)</f>
        <v>1.0000000000000009</v>
      </c>
      <c r="D58" s="101" t="s">
        <v>177</v>
      </c>
      <c r="E58" s="102" t="s">
        <v>494</v>
      </c>
      <c r="F58" s="103" t="s">
        <v>169</v>
      </c>
      <c r="G58" s="104"/>
      <c r="H58" s="104"/>
      <c r="I58" s="104"/>
      <c r="J58" s="104"/>
      <c r="K58" s="104"/>
    </row>
    <row r="59" spans="1:11" ht="15.95" customHeight="1" x14ac:dyDescent="0.2">
      <c r="A59" s="99">
        <v>46082</v>
      </c>
      <c r="B59" s="100">
        <v>0.60416666666666696</v>
      </c>
      <c r="D59" s="101" t="s">
        <v>177</v>
      </c>
      <c r="E59" s="102" t="s">
        <v>494</v>
      </c>
      <c r="F59" s="103" t="s">
        <v>169</v>
      </c>
      <c r="G59" s="104"/>
      <c r="H59" s="104"/>
      <c r="I59" s="104"/>
      <c r="J59" s="104"/>
      <c r="K59" s="104"/>
    </row>
    <row r="60" spans="1:11" ht="15.95" customHeight="1" x14ac:dyDescent="0.2">
      <c r="A60" s="99">
        <v>46082</v>
      </c>
      <c r="B60" s="100">
        <v>0.3125</v>
      </c>
      <c r="C60" s="107">
        <f>(B61-B60)/TIME(7,0,0)</f>
        <v>1.0000000000000009</v>
      </c>
      <c r="D60" s="101" t="s">
        <v>762</v>
      </c>
      <c r="E60" s="102" t="s">
        <v>362</v>
      </c>
      <c r="F60" s="103"/>
      <c r="G60" s="104"/>
      <c r="H60" s="104"/>
      <c r="I60" s="104"/>
      <c r="J60" s="104"/>
      <c r="K60" s="104"/>
    </row>
    <row r="61" spans="1:11" ht="15.95" customHeight="1" x14ac:dyDescent="0.2">
      <c r="A61" s="99">
        <v>46082</v>
      </c>
      <c r="B61" s="100">
        <v>0.60416666666666696</v>
      </c>
      <c r="D61" s="101" t="s">
        <v>762</v>
      </c>
      <c r="E61" s="102" t="s">
        <v>362</v>
      </c>
      <c r="F61" s="103"/>
      <c r="G61" s="104"/>
      <c r="H61" s="104"/>
      <c r="I61" s="104"/>
      <c r="J61" s="104"/>
      <c r="K61" s="104"/>
    </row>
    <row r="62" spans="1:11" ht="15.95" customHeight="1" x14ac:dyDescent="0.2">
      <c r="A62" s="99">
        <v>46082</v>
      </c>
      <c r="B62" s="100">
        <v>0.20833333333333301</v>
      </c>
      <c r="C62" s="108"/>
      <c r="D62" s="101" t="s">
        <v>737</v>
      </c>
      <c r="E62" s="102" t="s">
        <v>600</v>
      </c>
      <c r="F62" s="103" t="s">
        <v>737</v>
      </c>
      <c r="G62" s="104"/>
      <c r="H62" s="104"/>
      <c r="I62" s="104"/>
      <c r="J62" s="104"/>
      <c r="K62" s="104"/>
    </row>
    <row r="63" spans="1:11" ht="15.95" customHeight="1" x14ac:dyDescent="0.2">
      <c r="A63" s="99">
        <v>46081</v>
      </c>
      <c r="B63" s="100">
        <v>0.91666666666666663</v>
      </c>
      <c r="C63" s="108">
        <f>IF(B62&lt;B63,B62+1-B63,B62-B63)/TIME(7,0,0)</f>
        <v>0.999999999999999</v>
      </c>
      <c r="D63" s="101" t="s">
        <v>737</v>
      </c>
      <c r="E63" s="102" t="s">
        <v>600</v>
      </c>
      <c r="F63" s="103" t="s">
        <v>737</v>
      </c>
      <c r="G63" s="104"/>
      <c r="H63" s="104"/>
      <c r="I63" s="104"/>
      <c r="J63" s="104"/>
      <c r="K63" s="104"/>
    </row>
    <row r="64" spans="1:11" ht="15.95" customHeight="1" x14ac:dyDescent="0.2">
      <c r="A64" s="99">
        <v>46082</v>
      </c>
      <c r="B64" s="100">
        <v>0.3125</v>
      </c>
      <c r="D64" s="101" t="s">
        <v>118</v>
      </c>
      <c r="E64" s="102" t="s">
        <v>442</v>
      </c>
      <c r="F64" s="103" t="s">
        <v>101</v>
      </c>
      <c r="G64" s="104"/>
      <c r="H64" s="104"/>
      <c r="I64" s="104"/>
      <c r="J64" s="104"/>
      <c r="K64" s="104"/>
    </row>
    <row r="65" spans="1:11" ht="15.95" customHeight="1" x14ac:dyDescent="0.2">
      <c r="A65" s="99">
        <v>46082</v>
      </c>
      <c r="B65" s="100">
        <v>0.3125</v>
      </c>
      <c r="C65" s="107">
        <f>(B66-B65)/TIME(7,0,0)</f>
        <v>1.0000000000000009</v>
      </c>
      <c r="D65" s="101" t="s">
        <v>210</v>
      </c>
      <c r="E65" s="102" t="s">
        <v>525</v>
      </c>
      <c r="F65" s="103" t="s">
        <v>668</v>
      </c>
      <c r="G65" s="104"/>
      <c r="H65" s="104"/>
      <c r="I65" s="104"/>
      <c r="J65" s="104"/>
      <c r="K65" s="104"/>
    </row>
    <row r="66" spans="1:11" ht="15.95" customHeight="1" x14ac:dyDescent="0.2">
      <c r="A66" s="99">
        <v>46082</v>
      </c>
      <c r="B66" s="100">
        <v>0.60416666666666696</v>
      </c>
      <c r="D66" s="101" t="s">
        <v>210</v>
      </c>
      <c r="E66" s="102" t="s">
        <v>525</v>
      </c>
      <c r="F66" s="103" t="s">
        <v>668</v>
      </c>
      <c r="G66" s="104"/>
      <c r="H66" s="104"/>
      <c r="I66" s="104"/>
      <c r="J66" s="104"/>
      <c r="K66" s="104"/>
    </row>
    <row r="67" spans="1:11" ht="15.95" customHeight="1" x14ac:dyDescent="0.2">
      <c r="A67" s="99">
        <v>46082</v>
      </c>
      <c r="B67" s="100">
        <v>0.3125</v>
      </c>
      <c r="C67" s="107">
        <f>(B68-B67)/TIME(7,0,0)</f>
        <v>1.0000000000000009</v>
      </c>
      <c r="D67" s="101" t="s">
        <v>125</v>
      </c>
      <c r="E67" s="102" t="s">
        <v>449</v>
      </c>
      <c r="F67" s="103" t="s">
        <v>780</v>
      </c>
      <c r="G67" s="104"/>
      <c r="H67" s="104"/>
      <c r="I67" s="104"/>
      <c r="J67" s="104"/>
      <c r="K67" s="104"/>
    </row>
    <row r="68" spans="1:11" ht="15.95" customHeight="1" x14ac:dyDescent="0.2">
      <c r="A68" s="99">
        <v>46082</v>
      </c>
      <c r="B68" s="100">
        <v>0.60416666666666696</v>
      </c>
      <c r="D68" s="101" t="s">
        <v>125</v>
      </c>
      <c r="E68" s="102" t="s">
        <v>449</v>
      </c>
      <c r="F68" s="103" t="s">
        <v>780</v>
      </c>
      <c r="G68" s="104"/>
      <c r="H68" s="104"/>
      <c r="I68" s="104"/>
      <c r="J68" s="104"/>
      <c r="K68" s="104"/>
    </row>
    <row r="69" spans="1:11" ht="15.95" customHeight="1" x14ac:dyDescent="0.2">
      <c r="A69" s="99">
        <v>46082</v>
      </c>
      <c r="B69" s="100">
        <v>0.3125</v>
      </c>
      <c r="C69" s="107">
        <f>(B70-B69)/TIME(7,0,0)</f>
        <v>1.0000000000000009</v>
      </c>
      <c r="D69" s="101" t="s">
        <v>111</v>
      </c>
      <c r="E69" s="102" t="s">
        <v>435</v>
      </c>
      <c r="F69" s="103" t="s">
        <v>780</v>
      </c>
      <c r="G69" s="104"/>
      <c r="H69" s="104"/>
      <c r="I69" s="104"/>
      <c r="J69" s="104"/>
      <c r="K69" s="104"/>
    </row>
    <row r="70" spans="1:11" ht="15.95" customHeight="1" x14ac:dyDescent="0.2">
      <c r="A70" s="99">
        <v>46082</v>
      </c>
      <c r="B70" s="100">
        <v>0.60416666666666696</v>
      </c>
      <c r="D70" s="101" t="s">
        <v>111</v>
      </c>
      <c r="E70" s="102" t="s">
        <v>435</v>
      </c>
      <c r="F70" s="103" t="s">
        <v>780</v>
      </c>
      <c r="G70" s="104"/>
      <c r="H70" s="104"/>
      <c r="I70" s="104"/>
      <c r="J70" s="104"/>
      <c r="K70" s="104"/>
    </row>
    <row r="71" spans="1:11" ht="15.95" customHeight="1" x14ac:dyDescent="0.2">
      <c r="A71" s="99">
        <v>46082</v>
      </c>
      <c r="B71" s="100">
        <v>0.3125</v>
      </c>
      <c r="C71" s="107">
        <f>(B72-B71)/TIME(7,0,0)</f>
        <v>1.0000000000000009</v>
      </c>
      <c r="D71" s="101" t="s">
        <v>57</v>
      </c>
      <c r="E71" s="102" t="s">
        <v>380</v>
      </c>
      <c r="F71" s="103" t="s">
        <v>42</v>
      </c>
      <c r="G71" s="100"/>
      <c r="I71" s="104"/>
      <c r="J71" s="104"/>
      <c r="K71" s="104"/>
    </row>
    <row r="72" spans="1:11" ht="15.95" customHeight="1" x14ac:dyDescent="0.2">
      <c r="A72" s="99">
        <v>46082</v>
      </c>
      <c r="B72" s="100">
        <v>0.60416666666666696</v>
      </c>
      <c r="D72" s="101" t="s">
        <v>57</v>
      </c>
      <c r="E72" s="102" t="s">
        <v>380</v>
      </c>
      <c r="F72" s="103" t="s">
        <v>42</v>
      </c>
      <c r="G72" s="100"/>
      <c r="I72" s="104"/>
      <c r="J72" s="104"/>
      <c r="K72" s="104"/>
    </row>
    <row r="73" spans="1:11" ht="15.95" customHeight="1" x14ac:dyDescent="0.2">
      <c r="A73" s="99">
        <v>46082</v>
      </c>
      <c r="B73" s="100">
        <v>0.3125</v>
      </c>
      <c r="C73" s="107">
        <v>1</v>
      </c>
      <c r="D73" s="101" t="s">
        <v>16</v>
      </c>
      <c r="E73" s="102" t="s">
        <v>339</v>
      </c>
      <c r="F73" s="103" t="s">
        <v>674</v>
      </c>
      <c r="G73" s="104"/>
      <c r="H73" s="104"/>
      <c r="I73" s="104"/>
      <c r="J73" s="104"/>
      <c r="K73" s="104"/>
    </row>
    <row r="74" spans="1:11" ht="15.95" customHeight="1" x14ac:dyDescent="0.2">
      <c r="A74" s="99">
        <v>46082</v>
      </c>
      <c r="B74" s="100">
        <v>0.3125</v>
      </c>
      <c r="C74" s="107">
        <f>(B75-B74)/TIME(7,0,0)</f>
        <v>1.0000000000000009</v>
      </c>
      <c r="D74" s="101" t="s">
        <v>252</v>
      </c>
      <c r="E74" s="102" t="s">
        <v>565</v>
      </c>
      <c r="F74" s="103" t="s">
        <v>232</v>
      </c>
      <c r="G74" s="104"/>
      <c r="H74" s="104"/>
      <c r="I74" s="104"/>
      <c r="J74" s="104"/>
      <c r="K74" s="104"/>
    </row>
    <row r="75" spans="1:11" ht="15.95" customHeight="1" x14ac:dyDescent="0.2">
      <c r="A75" s="99">
        <v>46082</v>
      </c>
      <c r="B75" s="100">
        <v>0.60416666666666696</v>
      </c>
      <c r="D75" s="101" t="s">
        <v>252</v>
      </c>
      <c r="E75" s="102" t="s">
        <v>565</v>
      </c>
      <c r="F75" s="103" t="s">
        <v>232</v>
      </c>
      <c r="G75" s="104"/>
      <c r="H75" s="104"/>
      <c r="I75" s="104"/>
      <c r="J75" s="104"/>
      <c r="K75" s="104"/>
    </row>
    <row r="76" spans="1:11" ht="15.95" customHeight="1" x14ac:dyDescent="0.2">
      <c r="A76" s="99">
        <v>46082</v>
      </c>
      <c r="B76" s="100">
        <v>0.3125</v>
      </c>
      <c r="C76" s="107">
        <f>(B77-B76)/TIME(7,0,0)</f>
        <v>1.0000000000000009</v>
      </c>
      <c r="D76" s="101" t="s">
        <v>166</v>
      </c>
      <c r="E76" s="102" t="s">
        <v>484</v>
      </c>
      <c r="F76" s="103" t="s">
        <v>275</v>
      </c>
      <c r="G76" s="104"/>
      <c r="H76" s="104"/>
      <c r="I76" s="104"/>
      <c r="J76" s="104"/>
      <c r="K76" s="104"/>
    </row>
    <row r="77" spans="1:11" ht="15.95" customHeight="1" x14ac:dyDescent="0.2">
      <c r="A77" s="99">
        <v>46082</v>
      </c>
      <c r="B77" s="100">
        <v>0.60416666666666696</v>
      </c>
      <c r="D77" s="101" t="s">
        <v>166</v>
      </c>
      <c r="E77" s="102" t="s">
        <v>484</v>
      </c>
      <c r="F77" s="103" t="s">
        <v>275</v>
      </c>
      <c r="G77" s="104"/>
      <c r="H77" s="104"/>
      <c r="I77" s="104"/>
      <c r="J77" s="104"/>
      <c r="K77" s="104"/>
    </row>
    <row r="78" spans="1:11" ht="15.95" customHeight="1" x14ac:dyDescent="0.2">
      <c r="A78" s="99">
        <v>46082</v>
      </c>
      <c r="B78" s="100">
        <v>0.3125</v>
      </c>
      <c r="C78" s="107">
        <f>(B79-B78)/TIME(7,0,0)</f>
        <v>1.0000000000000009</v>
      </c>
      <c r="D78" s="101" t="s">
        <v>284</v>
      </c>
      <c r="E78" s="102" t="s">
        <v>592</v>
      </c>
      <c r="F78" s="103" t="s">
        <v>275</v>
      </c>
      <c r="G78" s="104"/>
      <c r="H78" s="104"/>
      <c r="I78" s="104"/>
      <c r="J78" s="104"/>
      <c r="K78" s="104"/>
    </row>
    <row r="79" spans="1:11" ht="15.95" customHeight="1" x14ac:dyDescent="0.2">
      <c r="A79" s="99">
        <v>46082</v>
      </c>
      <c r="B79" s="100">
        <v>0.60416666666666696</v>
      </c>
      <c r="D79" s="101" t="s">
        <v>284</v>
      </c>
      <c r="E79" s="102" t="s">
        <v>592</v>
      </c>
      <c r="F79" s="103" t="s">
        <v>275</v>
      </c>
      <c r="G79" s="104"/>
      <c r="H79" s="104"/>
      <c r="I79" s="104"/>
      <c r="J79" s="104"/>
      <c r="K79" s="104"/>
    </row>
    <row r="80" spans="1:11" ht="15.95" customHeight="1" x14ac:dyDescent="0.2">
      <c r="A80" s="99">
        <v>46082</v>
      </c>
      <c r="B80" s="100">
        <v>0.3125</v>
      </c>
      <c r="C80" s="107">
        <f>(B81-B80)/TIME(7,0,0)</f>
        <v>1.0000000000000009</v>
      </c>
      <c r="D80" s="101" t="s">
        <v>94</v>
      </c>
      <c r="E80" s="102" t="s">
        <v>419</v>
      </c>
      <c r="F80" s="103" t="s">
        <v>674</v>
      </c>
      <c r="G80" s="104"/>
      <c r="H80" s="104"/>
      <c r="I80" s="104"/>
      <c r="J80" s="104"/>
      <c r="K80" s="104"/>
    </row>
    <row r="81" spans="1:11" ht="15.95" customHeight="1" x14ac:dyDescent="0.2">
      <c r="A81" s="99">
        <v>46082</v>
      </c>
      <c r="B81" s="100">
        <v>0.60416666666666696</v>
      </c>
      <c r="D81" s="101" t="s">
        <v>94</v>
      </c>
      <c r="E81" s="102" t="s">
        <v>419</v>
      </c>
      <c r="F81" s="103" t="s">
        <v>674</v>
      </c>
      <c r="G81" s="104"/>
      <c r="H81" s="104"/>
      <c r="I81" s="104"/>
      <c r="J81" s="104"/>
      <c r="K81" s="104"/>
    </row>
    <row r="82" spans="1:11" ht="15.95" customHeight="1" x14ac:dyDescent="0.2">
      <c r="A82" s="99">
        <v>46082</v>
      </c>
      <c r="B82" s="100">
        <v>0.31944444444444442</v>
      </c>
      <c r="C82" s="107">
        <v>0.97</v>
      </c>
      <c r="D82" s="101" t="s">
        <v>230</v>
      </c>
      <c r="E82" s="102" t="s">
        <v>544</v>
      </c>
      <c r="F82" s="103" t="s">
        <v>674</v>
      </c>
      <c r="G82" s="104"/>
      <c r="H82" s="104"/>
      <c r="I82" s="104"/>
      <c r="J82" s="104"/>
      <c r="K82" s="104"/>
    </row>
    <row r="83" spans="1:11" ht="15.95" customHeight="1" x14ac:dyDescent="0.2">
      <c r="A83" s="99">
        <v>46082</v>
      </c>
      <c r="B83" s="100">
        <v>0.60416666666666696</v>
      </c>
      <c r="D83" s="101" t="s">
        <v>230</v>
      </c>
      <c r="E83" s="102" t="s">
        <v>544</v>
      </c>
      <c r="F83" s="103" t="s">
        <v>674</v>
      </c>
      <c r="G83" s="104"/>
      <c r="H83" s="104"/>
      <c r="I83" s="104"/>
      <c r="J83" s="104"/>
      <c r="K83" s="104"/>
    </row>
    <row r="84" spans="1:11" ht="15.95" customHeight="1" x14ac:dyDescent="0.2">
      <c r="A84" s="99">
        <v>46082</v>
      </c>
      <c r="B84" s="100">
        <v>0.3125</v>
      </c>
      <c r="C84" s="107">
        <f>(B85-B84)/TIME(7,0,0)</f>
        <v>1.0000000000000009</v>
      </c>
      <c r="D84" s="101" t="s">
        <v>168</v>
      </c>
      <c r="E84" s="102" t="s">
        <v>486</v>
      </c>
      <c r="F84" s="103"/>
      <c r="G84" s="104"/>
      <c r="H84" s="104"/>
      <c r="I84" s="104"/>
      <c r="J84" s="104"/>
      <c r="K84" s="104"/>
    </row>
    <row r="85" spans="1:11" ht="15.95" customHeight="1" x14ac:dyDescent="0.2">
      <c r="A85" s="99">
        <v>46082</v>
      </c>
      <c r="B85" s="100">
        <v>0.60416666666666696</v>
      </c>
      <c r="D85" s="101" t="s">
        <v>168</v>
      </c>
      <c r="E85" s="102" t="s">
        <v>486</v>
      </c>
      <c r="F85" s="103"/>
      <c r="G85" s="104"/>
      <c r="H85" s="104"/>
      <c r="I85" s="104"/>
      <c r="J85" s="104"/>
      <c r="K85" s="104"/>
    </row>
    <row r="86" spans="1:11" ht="15.95" customHeight="1" x14ac:dyDescent="0.2">
      <c r="A86" s="99">
        <v>46082</v>
      </c>
      <c r="B86" s="100">
        <v>0.3125</v>
      </c>
      <c r="C86" s="107">
        <f>(B87-B86)/TIME(7,0,0)</f>
        <v>1.0000000000000009</v>
      </c>
      <c r="D86" s="101" t="s">
        <v>123</v>
      </c>
      <c r="E86" s="102" t="s">
        <v>447</v>
      </c>
      <c r="F86" s="103" t="s">
        <v>668</v>
      </c>
      <c r="G86" s="104"/>
      <c r="H86" s="104"/>
      <c r="I86" s="104"/>
      <c r="J86" s="104"/>
      <c r="K86" s="104"/>
    </row>
    <row r="87" spans="1:11" ht="15.95" customHeight="1" x14ac:dyDescent="0.2">
      <c r="A87" s="99">
        <v>46082</v>
      </c>
      <c r="B87" s="100">
        <v>0.60416666666666696</v>
      </c>
      <c r="D87" s="101" t="s">
        <v>123</v>
      </c>
      <c r="E87" s="102" t="s">
        <v>447</v>
      </c>
      <c r="F87" s="103" t="s">
        <v>668</v>
      </c>
      <c r="G87" s="104"/>
      <c r="H87" s="104"/>
      <c r="I87" s="104"/>
      <c r="J87" s="104"/>
      <c r="K87" s="104"/>
    </row>
    <row r="88" spans="1:11" ht="15.95" customHeight="1" x14ac:dyDescent="0.2">
      <c r="A88" s="99">
        <v>46082</v>
      </c>
      <c r="B88" s="100">
        <v>0.3125</v>
      </c>
      <c r="C88" s="107">
        <f>(B89-B88)/TIME(7,0,0)</f>
        <v>1.0000000000000009</v>
      </c>
      <c r="D88" s="101" t="s">
        <v>673</v>
      </c>
      <c r="E88" s="102" t="s">
        <v>399</v>
      </c>
      <c r="F88" s="103" t="s">
        <v>668</v>
      </c>
      <c r="G88" s="104"/>
      <c r="H88" s="104"/>
      <c r="I88" s="104"/>
      <c r="J88" s="104"/>
      <c r="K88" s="104"/>
    </row>
    <row r="89" spans="1:11" ht="15.95" customHeight="1" x14ac:dyDescent="0.2">
      <c r="A89" s="99">
        <v>46082</v>
      </c>
      <c r="B89" s="100">
        <v>0.60416666666666696</v>
      </c>
      <c r="D89" s="101" t="s">
        <v>673</v>
      </c>
      <c r="E89" s="102" t="s">
        <v>399</v>
      </c>
      <c r="F89" s="103" t="s">
        <v>668</v>
      </c>
      <c r="G89" s="104"/>
      <c r="H89" s="104"/>
      <c r="I89" s="104"/>
      <c r="J89" s="104"/>
      <c r="K89" s="104"/>
    </row>
    <row r="90" spans="1:11" ht="15.95" customHeight="1" x14ac:dyDescent="0.2">
      <c r="A90" s="99">
        <v>46082</v>
      </c>
      <c r="B90" s="100">
        <v>0.3125</v>
      </c>
      <c r="C90" s="107">
        <f>(B91-B90)/TIME(7,0,0)</f>
        <v>1.0000000000000009</v>
      </c>
      <c r="D90" s="101" t="s">
        <v>64</v>
      </c>
      <c r="E90" s="102" t="s">
        <v>387</v>
      </c>
      <c r="F90" s="103" t="s">
        <v>787</v>
      </c>
      <c r="G90" s="104"/>
      <c r="H90" s="104"/>
      <c r="I90" s="104"/>
      <c r="J90" s="104"/>
      <c r="K90" s="104"/>
    </row>
    <row r="91" spans="1:11" ht="15.95" customHeight="1" x14ac:dyDescent="0.2">
      <c r="A91" s="99">
        <v>46082</v>
      </c>
      <c r="B91" s="100">
        <v>0.60416666666666696</v>
      </c>
      <c r="D91" s="101" t="s">
        <v>64</v>
      </c>
      <c r="E91" s="102" t="s">
        <v>387</v>
      </c>
      <c r="F91" s="103" t="s">
        <v>787</v>
      </c>
      <c r="G91" s="104"/>
      <c r="H91" s="104"/>
      <c r="I91" s="104"/>
      <c r="J91" s="104"/>
      <c r="K91" s="104"/>
    </row>
    <row r="92" spans="1:11" ht="15.95" customHeight="1" x14ac:dyDescent="0.2">
      <c r="A92" s="99">
        <v>46082</v>
      </c>
      <c r="B92" s="100">
        <v>0.3125</v>
      </c>
      <c r="C92" s="107">
        <f>(B93-B92)/TIME(7,0,0)</f>
        <v>1.0000000000000009</v>
      </c>
      <c r="D92" s="101" t="s">
        <v>691</v>
      </c>
      <c r="E92" s="102" t="s">
        <v>446</v>
      </c>
      <c r="F92" s="103" t="s">
        <v>668</v>
      </c>
      <c r="G92" s="104"/>
      <c r="H92" s="104"/>
      <c r="I92" s="104"/>
      <c r="J92" s="104"/>
      <c r="K92" s="104"/>
    </row>
    <row r="93" spans="1:11" ht="15.95" customHeight="1" x14ac:dyDescent="0.2">
      <c r="A93" s="99">
        <v>46082</v>
      </c>
      <c r="B93" s="100">
        <v>0.60416666666666696</v>
      </c>
      <c r="D93" s="101" t="s">
        <v>691</v>
      </c>
      <c r="E93" s="102" t="s">
        <v>446</v>
      </c>
      <c r="F93" s="103" t="s">
        <v>668</v>
      </c>
      <c r="G93" s="104"/>
      <c r="H93" s="104"/>
      <c r="I93" s="104"/>
      <c r="J93" s="104"/>
      <c r="K93" s="104"/>
    </row>
    <row r="94" spans="1:11" ht="15.95" customHeight="1" x14ac:dyDescent="0.2">
      <c r="A94" s="99">
        <v>46082</v>
      </c>
      <c r="B94" s="100">
        <v>0.32500000000000001</v>
      </c>
      <c r="C94" s="107">
        <v>1.5</v>
      </c>
      <c r="D94" s="101" t="s">
        <v>22</v>
      </c>
      <c r="E94" s="102" t="s">
        <v>345</v>
      </c>
      <c r="F94" s="103" t="s">
        <v>768</v>
      </c>
      <c r="G94" s="104"/>
      <c r="H94" s="104"/>
      <c r="I94" s="104"/>
      <c r="J94" s="104"/>
      <c r="K94" s="104"/>
    </row>
    <row r="95" spans="1:11" ht="15.95" customHeight="1" x14ac:dyDescent="0.2">
      <c r="A95" s="99">
        <v>46082</v>
      </c>
      <c r="B95" s="100">
        <v>0.32777777777777778</v>
      </c>
      <c r="D95" s="101" t="s">
        <v>22</v>
      </c>
      <c r="E95" s="102" t="s">
        <v>345</v>
      </c>
      <c r="F95" s="103" t="s">
        <v>768</v>
      </c>
      <c r="G95" s="104"/>
      <c r="H95" s="104"/>
      <c r="I95" s="104"/>
      <c r="J95" s="104"/>
      <c r="K95" s="104"/>
    </row>
    <row r="96" spans="1:11" ht="15.95" customHeight="1" x14ac:dyDescent="0.2">
      <c r="A96" s="99">
        <v>46082</v>
      </c>
      <c r="B96" s="100">
        <v>0.7</v>
      </c>
      <c r="D96" s="101" t="s">
        <v>22</v>
      </c>
      <c r="E96" s="102" t="s">
        <v>345</v>
      </c>
      <c r="F96" s="103" t="s">
        <v>768</v>
      </c>
      <c r="G96" s="104"/>
      <c r="H96" s="104"/>
      <c r="I96" s="104"/>
      <c r="J96" s="104"/>
      <c r="K96" s="104"/>
    </row>
    <row r="97" spans="1:11" ht="15.95" customHeight="1" x14ac:dyDescent="0.2">
      <c r="A97" s="99">
        <v>46082</v>
      </c>
      <c r="B97" s="100">
        <v>0.3125</v>
      </c>
      <c r="C97" s="107">
        <f>(B98-B97)/TIME(7,0,0)</f>
        <v>1.0000000000000009</v>
      </c>
      <c r="D97" s="101" t="s">
        <v>66</v>
      </c>
      <c r="E97" s="102" t="s">
        <v>389</v>
      </c>
      <c r="F97" s="103" t="s">
        <v>780</v>
      </c>
      <c r="G97" s="104"/>
      <c r="H97" s="104"/>
      <c r="I97" s="104"/>
      <c r="J97" s="104"/>
      <c r="K97" s="104"/>
    </row>
    <row r="98" spans="1:11" ht="15.95" customHeight="1" x14ac:dyDescent="0.2">
      <c r="A98" s="99">
        <v>46082</v>
      </c>
      <c r="B98" s="100">
        <v>0.60416666666666696</v>
      </c>
      <c r="D98" s="101" t="s">
        <v>66</v>
      </c>
      <c r="E98" s="102" t="s">
        <v>389</v>
      </c>
      <c r="F98" s="103" t="s">
        <v>780</v>
      </c>
      <c r="G98" s="104"/>
      <c r="H98" s="104"/>
      <c r="I98" s="104"/>
      <c r="J98" s="104"/>
      <c r="K98" s="104"/>
    </row>
    <row r="99" spans="1:11" ht="15.95" customHeight="1" x14ac:dyDescent="0.2">
      <c r="A99" s="99">
        <v>46082</v>
      </c>
      <c r="B99" s="100">
        <v>0.3125</v>
      </c>
      <c r="C99" s="107">
        <f>(B100-B99)/TIME(7,0,0)</f>
        <v>1.0000000000000009</v>
      </c>
      <c r="D99" s="101" t="s">
        <v>689</v>
      </c>
      <c r="E99" s="102" t="s">
        <v>521</v>
      </c>
      <c r="F99" s="103" t="s">
        <v>199</v>
      </c>
      <c r="G99" s="104"/>
      <c r="H99" s="104"/>
      <c r="I99" s="104"/>
      <c r="J99" s="104"/>
      <c r="K99" s="104"/>
    </row>
    <row r="100" spans="1:11" ht="15.95" customHeight="1" x14ac:dyDescent="0.2">
      <c r="A100" s="99">
        <v>46082</v>
      </c>
      <c r="B100" s="100">
        <v>0.60416666666666696</v>
      </c>
      <c r="D100" s="101" t="s">
        <v>689</v>
      </c>
      <c r="E100" s="102" t="s">
        <v>521</v>
      </c>
      <c r="F100" s="103" t="s">
        <v>199</v>
      </c>
      <c r="G100" s="104"/>
      <c r="H100" s="104"/>
      <c r="I100" s="104"/>
      <c r="J100" s="104"/>
      <c r="K100" s="104"/>
    </row>
    <row r="101" spans="1:11" ht="15.95" customHeight="1" x14ac:dyDescent="0.2">
      <c r="A101" s="99">
        <v>46082</v>
      </c>
      <c r="B101" s="100">
        <v>0.3125</v>
      </c>
      <c r="C101" s="107">
        <f>(B102-B101)/TIME(7,0,0)</f>
        <v>1.0000000000000009</v>
      </c>
      <c r="D101" s="101" t="s">
        <v>27</v>
      </c>
      <c r="E101" s="102" t="s">
        <v>350</v>
      </c>
      <c r="F101" s="103" t="s">
        <v>671</v>
      </c>
      <c r="G101" s="104"/>
      <c r="H101" s="104"/>
      <c r="I101" s="104"/>
      <c r="J101" s="104"/>
      <c r="K101" s="104"/>
    </row>
    <row r="102" spans="1:11" ht="15.95" customHeight="1" x14ac:dyDescent="0.2">
      <c r="A102" s="99">
        <v>46082</v>
      </c>
      <c r="B102" s="100">
        <v>0.60416666666666696</v>
      </c>
      <c r="D102" s="101" t="s">
        <v>27</v>
      </c>
      <c r="E102" s="102" t="s">
        <v>350</v>
      </c>
      <c r="F102" s="103" t="s">
        <v>671</v>
      </c>
      <c r="G102" s="104"/>
      <c r="H102" s="104"/>
      <c r="I102" s="104"/>
      <c r="J102" s="104"/>
      <c r="K102" s="104"/>
    </row>
    <row r="103" spans="1:11" ht="15.95" customHeight="1" x14ac:dyDescent="0.2">
      <c r="A103" s="99">
        <v>46082</v>
      </c>
      <c r="B103" s="100">
        <v>5.0694444444444445E-2</v>
      </c>
      <c r="C103" s="108"/>
      <c r="D103" s="101" t="s">
        <v>27</v>
      </c>
      <c r="E103" s="102" t="s">
        <v>350</v>
      </c>
      <c r="F103" s="103" t="s">
        <v>27</v>
      </c>
      <c r="G103" s="104"/>
      <c r="H103" s="104"/>
      <c r="I103" s="104"/>
      <c r="J103" s="104"/>
      <c r="K103" s="104"/>
    </row>
    <row r="104" spans="1:11" ht="15.95" customHeight="1" x14ac:dyDescent="0.2">
      <c r="A104" s="99">
        <v>46081</v>
      </c>
      <c r="B104" s="100">
        <v>0.91666666666666663</v>
      </c>
      <c r="C104" s="108"/>
      <c r="D104" s="101" t="s">
        <v>27</v>
      </c>
      <c r="E104" s="102" t="s">
        <v>350</v>
      </c>
      <c r="F104" s="103" t="s">
        <v>27</v>
      </c>
      <c r="G104" s="104"/>
      <c r="H104" s="104"/>
      <c r="I104" s="104"/>
      <c r="J104" s="104"/>
      <c r="K104" s="104"/>
    </row>
    <row r="105" spans="1:11" ht="15.95" customHeight="1" x14ac:dyDescent="0.2">
      <c r="A105" s="99">
        <v>46082</v>
      </c>
      <c r="B105" s="100">
        <v>0.3125</v>
      </c>
      <c r="C105" s="107">
        <f>(B106-B105)/TIME(7,0,0)</f>
        <v>1.0000000000000009</v>
      </c>
      <c r="D105" s="101" t="s">
        <v>172</v>
      </c>
      <c r="E105" s="102" t="s">
        <v>489</v>
      </c>
      <c r="F105" s="103" t="s">
        <v>169</v>
      </c>
      <c r="G105" s="104"/>
      <c r="H105" s="104"/>
      <c r="I105" s="104"/>
      <c r="J105" s="104"/>
      <c r="K105" s="104"/>
    </row>
    <row r="106" spans="1:11" ht="15.95" customHeight="1" x14ac:dyDescent="0.2">
      <c r="A106" s="99">
        <v>46082</v>
      </c>
      <c r="B106" s="100">
        <v>0.60416666666666696</v>
      </c>
      <c r="D106" s="101" t="s">
        <v>172</v>
      </c>
      <c r="E106" s="102" t="s">
        <v>489</v>
      </c>
      <c r="F106" s="103" t="s">
        <v>169</v>
      </c>
      <c r="G106" s="104"/>
      <c r="H106" s="104"/>
      <c r="I106" s="104"/>
      <c r="J106" s="104"/>
      <c r="K106" s="104"/>
    </row>
    <row r="107" spans="1:11" ht="15.95" customHeight="1" x14ac:dyDescent="0.2">
      <c r="A107" s="99">
        <v>46082</v>
      </c>
      <c r="B107" s="100">
        <v>0.3125</v>
      </c>
      <c r="C107" s="107">
        <f>(B108-B107)/TIME(7,0,0)</f>
        <v>1.0000000000000009</v>
      </c>
      <c r="D107" s="101" t="s">
        <v>33</v>
      </c>
      <c r="E107" s="102" t="s">
        <v>356</v>
      </c>
      <c r="F107" s="103" t="s">
        <v>771</v>
      </c>
      <c r="G107" s="104"/>
      <c r="H107" s="104"/>
      <c r="I107" s="104"/>
      <c r="J107" s="104"/>
      <c r="K107" s="104"/>
    </row>
    <row r="108" spans="1:11" ht="15.95" customHeight="1" x14ac:dyDescent="0.2">
      <c r="A108" s="99">
        <v>46082</v>
      </c>
      <c r="B108" s="100">
        <v>0.60416666666666696</v>
      </c>
      <c r="D108" s="101" t="s">
        <v>33</v>
      </c>
      <c r="E108" s="102" t="s">
        <v>356</v>
      </c>
      <c r="F108" s="103" t="s">
        <v>771</v>
      </c>
      <c r="G108" s="104"/>
      <c r="H108" s="104"/>
      <c r="I108" s="104"/>
      <c r="J108" s="104"/>
      <c r="K108" s="104"/>
    </row>
    <row r="109" spans="1:11" ht="15.95" customHeight="1" x14ac:dyDescent="0.2">
      <c r="A109" s="99">
        <v>46082</v>
      </c>
      <c r="B109" s="100">
        <v>0.3125</v>
      </c>
      <c r="C109" s="107">
        <f>(B110-B109)/TIME(7,0,0)</f>
        <v>1.0000000000000009</v>
      </c>
      <c r="D109" s="101" t="s">
        <v>62</v>
      </c>
      <c r="E109" s="102" t="s">
        <v>385</v>
      </c>
      <c r="F109" s="103" t="s">
        <v>42</v>
      </c>
      <c r="G109" s="104"/>
      <c r="H109" s="104"/>
      <c r="I109" s="104"/>
      <c r="J109" s="104"/>
      <c r="K109" s="104"/>
    </row>
    <row r="110" spans="1:11" ht="15.95" customHeight="1" x14ac:dyDescent="0.2">
      <c r="A110" s="99">
        <v>46082</v>
      </c>
      <c r="B110" s="100">
        <v>0.60416666666666696</v>
      </c>
      <c r="D110" s="101" t="s">
        <v>62</v>
      </c>
      <c r="E110" s="102" t="s">
        <v>385</v>
      </c>
      <c r="F110" s="103" t="s">
        <v>42</v>
      </c>
      <c r="G110" s="104"/>
      <c r="H110" s="104"/>
      <c r="I110" s="104"/>
      <c r="J110" s="104"/>
      <c r="K110" s="104"/>
    </row>
    <row r="111" spans="1:11" ht="15.95" customHeight="1" x14ac:dyDescent="0.2">
      <c r="A111" s="99">
        <v>46082</v>
      </c>
      <c r="B111" s="100">
        <v>0.20833333333333301</v>
      </c>
      <c r="C111" s="108"/>
      <c r="D111" s="101" t="s">
        <v>685</v>
      </c>
      <c r="E111" s="102" t="s">
        <v>622</v>
      </c>
      <c r="F111" s="103" t="s">
        <v>685</v>
      </c>
      <c r="G111" s="104"/>
      <c r="H111" s="104"/>
      <c r="I111" s="104"/>
      <c r="J111" s="104"/>
      <c r="K111" s="104"/>
    </row>
    <row r="112" spans="1:11" ht="15.95" customHeight="1" x14ac:dyDescent="0.2">
      <c r="A112" s="99">
        <v>46081</v>
      </c>
      <c r="B112" s="100">
        <v>0.91666666666666663</v>
      </c>
      <c r="C112" s="108">
        <f>IF(B111&lt;B112,B111+1-B112,B111-B112)/TIME(7,0,0)</f>
        <v>0.999999999999999</v>
      </c>
      <c r="D112" s="101" t="s">
        <v>685</v>
      </c>
      <c r="E112" s="102" t="s">
        <v>622</v>
      </c>
      <c r="F112" s="103" t="s">
        <v>685</v>
      </c>
      <c r="G112" s="104"/>
      <c r="H112" s="104"/>
      <c r="I112" s="104"/>
      <c r="J112" s="104"/>
      <c r="K112" s="104"/>
    </row>
    <row r="113" spans="1:11" ht="15.95" customHeight="1" x14ac:dyDescent="0.2">
      <c r="A113" s="99">
        <v>46082</v>
      </c>
      <c r="B113" s="100">
        <v>0.3125</v>
      </c>
      <c r="C113" s="107">
        <f>(B114-B113)/TIME(7,0,0)</f>
        <v>1.0000000000000009</v>
      </c>
      <c r="D113" s="101" t="s">
        <v>675</v>
      </c>
      <c r="E113" s="102" t="s">
        <v>512</v>
      </c>
      <c r="F113" s="103" t="s">
        <v>668</v>
      </c>
      <c r="G113" s="104"/>
      <c r="H113" s="104"/>
      <c r="I113" s="104"/>
      <c r="J113" s="104"/>
      <c r="K113" s="104"/>
    </row>
    <row r="114" spans="1:11" ht="15.95" customHeight="1" x14ac:dyDescent="0.2">
      <c r="A114" s="99">
        <v>46082</v>
      </c>
      <c r="B114" s="100">
        <v>0.60416666666666696</v>
      </c>
      <c r="D114" s="101" t="s">
        <v>675</v>
      </c>
      <c r="E114" s="102" t="s">
        <v>512</v>
      </c>
      <c r="F114" s="103" t="s">
        <v>668</v>
      </c>
      <c r="G114" s="104"/>
      <c r="H114" s="104"/>
      <c r="I114" s="104"/>
      <c r="J114" s="104"/>
      <c r="K114" s="104"/>
    </row>
    <row r="115" spans="1:11" ht="15.95" customHeight="1" x14ac:dyDescent="0.2">
      <c r="A115" s="99">
        <v>46082</v>
      </c>
      <c r="B115" s="100">
        <v>0.31666666666666665</v>
      </c>
      <c r="C115" s="107">
        <v>0.98</v>
      </c>
      <c r="D115" s="101" t="s">
        <v>653</v>
      </c>
      <c r="E115" s="102" t="s">
        <v>415</v>
      </c>
      <c r="F115" s="103"/>
      <c r="G115" s="104"/>
      <c r="H115" s="104"/>
      <c r="I115" s="104"/>
      <c r="J115" s="104"/>
      <c r="K115" s="104"/>
    </row>
    <row r="116" spans="1:11" ht="15.95" customHeight="1" x14ac:dyDescent="0.2">
      <c r="A116" s="99">
        <v>46082</v>
      </c>
      <c r="B116" s="100">
        <v>0.60416666666666696</v>
      </c>
      <c r="D116" s="101" t="s">
        <v>653</v>
      </c>
      <c r="E116" s="102" t="s">
        <v>415</v>
      </c>
      <c r="F116" s="103"/>
      <c r="G116" s="104"/>
      <c r="H116" s="104"/>
      <c r="I116" s="104"/>
      <c r="J116" s="104"/>
      <c r="K116" s="104"/>
    </row>
    <row r="117" spans="1:11" ht="15.95" customHeight="1" x14ac:dyDescent="0.2">
      <c r="A117" s="99">
        <v>46082</v>
      </c>
      <c r="B117" s="100">
        <v>0.3125</v>
      </c>
      <c r="C117" s="107">
        <f>(B118-B117)/TIME(7,0,0)</f>
        <v>1.0000000000000009</v>
      </c>
      <c r="D117" s="101" t="s">
        <v>686</v>
      </c>
      <c r="E117" s="102" t="s">
        <v>365</v>
      </c>
      <c r="F117" s="103" t="s">
        <v>101</v>
      </c>
      <c r="G117" s="104"/>
      <c r="H117" s="104"/>
      <c r="I117" s="104"/>
      <c r="J117" s="104"/>
      <c r="K117" s="104"/>
    </row>
    <row r="118" spans="1:11" ht="15.95" customHeight="1" x14ac:dyDescent="0.2">
      <c r="A118" s="99">
        <v>46082</v>
      </c>
      <c r="B118" s="100">
        <v>0.60416666666666696</v>
      </c>
      <c r="D118" s="101" t="s">
        <v>686</v>
      </c>
      <c r="E118" s="102" t="s">
        <v>365</v>
      </c>
      <c r="F118" s="103" t="s">
        <v>101</v>
      </c>
      <c r="G118" s="104"/>
      <c r="H118" s="104"/>
      <c r="I118" s="104"/>
      <c r="J118" s="104"/>
      <c r="K118" s="104"/>
    </row>
    <row r="119" spans="1:11" ht="15.95" customHeight="1" x14ac:dyDescent="0.2">
      <c r="A119" s="99">
        <v>46082</v>
      </c>
      <c r="B119" s="100">
        <v>0.20833333333333301</v>
      </c>
      <c r="C119" s="108"/>
      <c r="D119" s="101" t="s">
        <v>318</v>
      </c>
      <c r="E119" s="102" t="s">
        <v>629</v>
      </c>
      <c r="F119" s="103" t="s">
        <v>318</v>
      </c>
      <c r="G119" s="104"/>
      <c r="H119" s="104"/>
      <c r="I119" s="104"/>
      <c r="J119" s="104"/>
      <c r="K119" s="104"/>
    </row>
    <row r="120" spans="1:11" ht="15.95" customHeight="1" x14ac:dyDescent="0.2">
      <c r="A120" s="99">
        <v>46081</v>
      </c>
      <c r="B120" s="100">
        <v>0.91666666666666663</v>
      </c>
      <c r="C120" s="108">
        <f>IF(B119&lt;B120,B119+1-B120,B119-B120)/TIME(7,0,0)</f>
        <v>0.999999999999999</v>
      </c>
      <c r="D120" s="101" t="s">
        <v>318</v>
      </c>
      <c r="E120" s="102" t="s">
        <v>629</v>
      </c>
      <c r="F120" s="103" t="s">
        <v>318</v>
      </c>
      <c r="G120" s="104"/>
      <c r="H120" s="104"/>
      <c r="I120" s="104"/>
      <c r="J120" s="104"/>
      <c r="K120" s="104"/>
    </row>
    <row r="121" spans="1:11" ht="15.95" customHeight="1" x14ac:dyDescent="0.2">
      <c r="A121" s="99">
        <v>46082</v>
      </c>
      <c r="B121" s="100">
        <v>0.3125</v>
      </c>
      <c r="C121" s="107">
        <f>(B122-B121)/TIME(7,0,0)</f>
        <v>1.0000000000000009</v>
      </c>
      <c r="D121" s="101" t="s">
        <v>266</v>
      </c>
      <c r="E121" s="102" t="s">
        <v>576</v>
      </c>
      <c r="F121" s="103" t="s">
        <v>766</v>
      </c>
      <c r="G121" s="104"/>
      <c r="H121" s="104"/>
      <c r="I121" s="104"/>
      <c r="J121" s="104"/>
      <c r="K121" s="104"/>
    </row>
    <row r="122" spans="1:11" ht="15.95" customHeight="1" x14ac:dyDescent="0.2">
      <c r="A122" s="99">
        <v>46082</v>
      </c>
      <c r="B122" s="100">
        <v>0.60416666666666696</v>
      </c>
      <c r="D122" s="101" t="s">
        <v>266</v>
      </c>
      <c r="E122" s="102" t="s">
        <v>576</v>
      </c>
      <c r="F122" s="103" t="s">
        <v>766</v>
      </c>
      <c r="G122" s="104"/>
      <c r="H122" s="104"/>
      <c r="I122" s="104"/>
      <c r="J122" s="104"/>
      <c r="K122" s="104"/>
    </row>
    <row r="123" spans="1:11" ht="15.95" customHeight="1" x14ac:dyDescent="0.2">
      <c r="A123" s="99">
        <v>46082</v>
      </c>
      <c r="B123" s="100">
        <v>0.3125</v>
      </c>
      <c r="C123" s="107">
        <f>(B124-B123)/TIME(7,0,0)</f>
        <v>1.0000000000000009</v>
      </c>
      <c r="D123" s="101" t="s">
        <v>91</v>
      </c>
      <c r="E123" s="102" t="s">
        <v>416</v>
      </c>
      <c r="F123" s="103" t="s">
        <v>674</v>
      </c>
      <c r="G123" s="104"/>
      <c r="H123" s="104"/>
      <c r="I123" s="104"/>
      <c r="J123" s="104"/>
      <c r="K123" s="104"/>
    </row>
    <row r="124" spans="1:11" ht="15.95" customHeight="1" x14ac:dyDescent="0.2">
      <c r="A124" s="99">
        <v>46082</v>
      </c>
      <c r="B124" s="100">
        <v>0.60416666666666696</v>
      </c>
      <c r="D124" s="101" t="s">
        <v>91</v>
      </c>
      <c r="E124" s="102" t="s">
        <v>416</v>
      </c>
      <c r="F124" s="103" t="s">
        <v>674</v>
      </c>
      <c r="G124" s="104"/>
      <c r="H124" s="104"/>
      <c r="I124" s="104"/>
      <c r="J124" s="104"/>
      <c r="K124" s="104"/>
    </row>
    <row r="125" spans="1:11" ht="15.95" customHeight="1" x14ac:dyDescent="0.2">
      <c r="A125" s="99">
        <v>46082</v>
      </c>
      <c r="B125" s="100">
        <v>0.32013888888888886</v>
      </c>
      <c r="C125" s="107">
        <v>0.97</v>
      </c>
      <c r="D125" s="101" t="s">
        <v>769</v>
      </c>
      <c r="E125" s="102" t="s">
        <v>516</v>
      </c>
      <c r="F125" s="103" t="s">
        <v>199</v>
      </c>
      <c r="G125" s="104"/>
      <c r="H125" s="104"/>
      <c r="I125" s="104"/>
      <c r="J125" s="104"/>
      <c r="K125" s="104"/>
    </row>
    <row r="126" spans="1:11" ht="15.95" customHeight="1" x14ac:dyDescent="0.2">
      <c r="A126" s="99">
        <v>46082</v>
      </c>
      <c r="B126" s="100">
        <v>0.60416666666666696</v>
      </c>
      <c r="D126" s="101" t="s">
        <v>769</v>
      </c>
      <c r="E126" s="102" t="s">
        <v>516</v>
      </c>
      <c r="F126" s="103" t="s">
        <v>199</v>
      </c>
      <c r="G126" s="104"/>
      <c r="H126" s="104"/>
      <c r="I126" s="104"/>
      <c r="J126" s="104"/>
      <c r="K126" s="104"/>
    </row>
    <row r="127" spans="1:11" ht="15.95" customHeight="1" x14ac:dyDescent="0.2">
      <c r="A127" s="99">
        <v>46082</v>
      </c>
      <c r="B127" s="100">
        <v>0.3125</v>
      </c>
      <c r="C127" s="107">
        <v>1</v>
      </c>
      <c r="D127" s="101" t="s">
        <v>10</v>
      </c>
      <c r="E127" s="102" t="s">
        <v>333</v>
      </c>
      <c r="F127" s="103" t="s">
        <v>792</v>
      </c>
      <c r="G127" s="104"/>
      <c r="H127" s="104"/>
      <c r="I127" s="104"/>
      <c r="J127" s="104"/>
      <c r="K127" s="104"/>
    </row>
    <row r="128" spans="1:11" ht="15.95" customHeight="1" x14ac:dyDescent="0.2">
      <c r="A128" s="99">
        <v>46082</v>
      </c>
      <c r="B128" s="100">
        <v>0.3125</v>
      </c>
      <c r="C128" s="107">
        <f>(B129-B128)/TIME(7,0,0)</f>
        <v>1.0000000000000009</v>
      </c>
      <c r="D128" s="101" t="s">
        <v>28</v>
      </c>
      <c r="E128" s="102" t="s">
        <v>351</v>
      </c>
      <c r="F128" s="103" t="s">
        <v>671</v>
      </c>
      <c r="G128" s="104"/>
      <c r="H128" s="104"/>
      <c r="I128" s="104"/>
      <c r="J128" s="104"/>
      <c r="K128" s="104"/>
    </row>
    <row r="129" spans="1:11" ht="15.95" customHeight="1" x14ac:dyDescent="0.2">
      <c r="A129" s="99">
        <v>46082</v>
      </c>
      <c r="B129" s="100">
        <v>0.60416666666666696</v>
      </c>
      <c r="D129" s="101" t="s">
        <v>28</v>
      </c>
      <c r="E129" s="102" t="s">
        <v>351</v>
      </c>
      <c r="F129" s="103" t="s">
        <v>671</v>
      </c>
      <c r="G129" s="104"/>
      <c r="H129" s="104"/>
      <c r="I129" s="104"/>
      <c r="J129" s="104"/>
      <c r="K129" s="104"/>
    </row>
    <row r="130" spans="1:11" ht="15.95" customHeight="1" x14ac:dyDescent="0.2">
      <c r="A130" s="99">
        <v>46082</v>
      </c>
      <c r="B130" s="100">
        <v>0.3125</v>
      </c>
      <c r="C130" s="107">
        <f>(B131-B130)/TIME(7,0,0)</f>
        <v>1.0000000000000009</v>
      </c>
      <c r="D130" s="101" t="s">
        <v>184</v>
      </c>
      <c r="E130" s="102" t="s">
        <v>502</v>
      </c>
      <c r="F130" s="103" t="s">
        <v>275</v>
      </c>
      <c r="G130" s="104"/>
      <c r="H130" s="104"/>
      <c r="I130" s="104"/>
      <c r="J130" s="104"/>
      <c r="K130" s="104"/>
    </row>
    <row r="131" spans="1:11" ht="15.95" customHeight="1" x14ac:dyDescent="0.2">
      <c r="A131" s="99">
        <v>46082</v>
      </c>
      <c r="B131" s="100">
        <v>0.60416666666666696</v>
      </c>
      <c r="D131" s="101" t="s">
        <v>184</v>
      </c>
      <c r="E131" s="102" t="s">
        <v>502</v>
      </c>
      <c r="F131" s="103" t="s">
        <v>275</v>
      </c>
      <c r="G131" s="104"/>
      <c r="H131" s="104"/>
      <c r="I131" s="104"/>
      <c r="J131" s="104"/>
      <c r="K131" s="104"/>
    </row>
    <row r="132" spans="1:11" ht="15.95" customHeight="1" x14ac:dyDescent="0.2">
      <c r="A132" s="99">
        <v>46082</v>
      </c>
      <c r="B132" s="100">
        <v>0.3125</v>
      </c>
      <c r="C132" s="107">
        <f>(B133-B132)/TIME(7,0,0)</f>
        <v>1.0000000000000009</v>
      </c>
      <c r="D132" s="101" t="s">
        <v>241</v>
      </c>
      <c r="E132" s="102" t="s">
        <v>554</v>
      </c>
      <c r="F132" s="103" t="s">
        <v>232</v>
      </c>
      <c r="G132" s="104"/>
      <c r="H132" s="104"/>
      <c r="I132" s="104"/>
      <c r="J132" s="104"/>
      <c r="K132" s="104"/>
    </row>
    <row r="133" spans="1:11" ht="15.95" customHeight="1" x14ac:dyDescent="0.2">
      <c r="A133" s="99">
        <v>46082</v>
      </c>
      <c r="B133" s="100">
        <v>0.60416666666666696</v>
      </c>
      <c r="D133" s="101" t="s">
        <v>241</v>
      </c>
      <c r="E133" s="102" t="s">
        <v>554</v>
      </c>
      <c r="F133" s="103" t="s">
        <v>232</v>
      </c>
      <c r="G133" s="104"/>
      <c r="H133" s="104"/>
      <c r="I133" s="104"/>
      <c r="J133" s="104"/>
      <c r="K133" s="104"/>
    </row>
    <row r="134" spans="1:11" ht="15.95" customHeight="1" x14ac:dyDescent="0.2">
      <c r="A134" s="99">
        <v>46082</v>
      </c>
      <c r="B134" s="100">
        <v>0.3125</v>
      </c>
      <c r="C134" s="107">
        <f>(B135-B134)/TIME(7,0,0)</f>
        <v>1.0000000000000009</v>
      </c>
      <c r="D134" s="101" t="s">
        <v>83</v>
      </c>
      <c r="E134" s="102" t="s">
        <v>405</v>
      </c>
      <c r="F134" s="103" t="s">
        <v>674</v>
      </c>
      <c r="G134" s="104"/>
      <c r="H134" s="104"/>
      <c r="I134" s="104"/>
      <c r="J134" s="104"/>
      <c r="K134" s="104"/>
    </row>
    <row r="135" spans="1:11" ht="15.95" customHeight="1" x14ac:dyDescent="0.2">
      <c r="A135" s="99">
        <v>46082</v>
      </c>
      <c r="B135" s="100">
        <v>0.60416666666666696</v>
      </c>
      <c r="D135" s="101" t="s">
        <v>83</v>
      </c>
      <c r="E135" s="102" t="s">
        <v>405</v>
      </c>
      <c r="F135" s="103" t="s">
        <v>674</v>
      </c>
      <c r="G135" s="104"/>
      <c r="H135" s="104"/>
      <c r="I135" s="104"/>
      <c r="J135" s="104"/>
      <c r="K135" s="104"/>
    </row>
    <row r="136" spans="1:11" ht="15.95" customHeight="1" x14ac:dyDescent="0.2">
      <c r="A136" s="99">
        <v>46082</v>
      </c>
      <c r="B136" s="100">
        <v>0.3125</v>
      </c>
      <c r="C136" s="107">
        <f>(B137-B136)/TIME(7,0,0)</f>
        <v>1.0000000000000009</v>
      </c>
      <c r="D136" s="101" t="s">
        <v>106</v>
      </c>
      <c r="E136" s="102" t="s">
        <v>430</v>
      </c>
      <c r="F136" s="103" t="s">
        <v>671</v>
      </c>
      <c r="G136" s="104"/>
      <c r="H136" s="104"/>
      <c r="I136" s="104"/>
      <c r="J136" s="104"/>
      <c r="K136" s="104"/>
    </row>
    <row r="137" spans="1:11" ht="15.95" customHeight="1" x14ac:dyDescent="0.2">
      <c r="A137" s="99">
        <v>46082</v>
      </c>
      <c r="B137" s="100">
        <v>0.60416666666666696</v>
      </c>
      <c r="D137" s="101" t="s">
        <v>106</v>
      </c>
      <c r="E137" s="102" t="s">
        <v>430</v>
      </c>
      <c r="F137" s="103" t="s">
        <v>671</v>
      </c>
      <c r="G137" s="104"/>
      <c r="H137" s="104"/>
      <c r="I137" s="104"/>
      <c r="J137" s="104"/>
      <c r="K137" s="104"/>
    </row>
    <row r="138" spans="1:11" ht="15.95" customHeight="1" x14ac:dyDescent="0.2">
      <c r="A138" s="99">
        <v>46082</v>
      </c>
      <c r="B138" s="100">
        <v>0.3125</v>
      </c>
      <c r="C138" s="107">
        <f>(B139-B138)/TIME(7,0,0)</f>
        <v>1.0000000000000009</v>
      </c>
      <c r="D138" s="101" t="s">
        <v>124</v>
      </c>
      <c r="E138" s="102" t="s">
        <v>448</v>
      </c>
      <c r="F138" s="103" t="s">
        <v>789</v>
      </c>
      <c r="G138" s="104"/>
      <c r="H138" s="104"/>
      <c r="I138" s="104"/>
      <c r="J138" s="104"/>
      <c r="K138" s="104"/>
    </row>
    <row r="139" spans="1:11" ht="15.95" customHeight="1" x14ac:dyDescent="0.2">
      <c r="A139" s="99">
        <v>46082</v>
      </c>
      <c r="B139" s="100">
        <v>0.60416666666666696</v>
      </c>
      <c r="D139" s="101" t="s">
        <v>124</v>
      </c>
      <c r="E139" s="102" t="s">
        <v>448</v>
      </c>
      <c r="F139" s="103" t="s">
        <v>789</v>
      </c>
      <c r="G139" s="104"/>
      <c r="H139" s="104"/>
      <c r="I139" s="104"/>
      <c r="J139" s="104"/>
      <c r="K139" s="104"/>
    </row>
    <row r="140" spans="1:11" ht="15.95" customHeight="1" x14ac:dyDescent="0.2">
      <c r="A140" s="99">
        <v>46082</v>
      </c>
      <c r="B140" s="100">
        <v>0.3125</v>
      </c>
      <c r="C140" s="107">
        <f>(B141-B140)/TIME(7,0,0)</f>
        <v>1.0000000000000009</v>
      </c>
      <c r="D140" s="101" t="s">
        <v>219</v>
      </c>
      <c r="E140" s="102" t="s">
        <v>534</v>
      </c>
      <c r="F140" s="103" t="s">
        <v>232</v>
      </c>
      <c r="G140" s="104"/>
      <c r="H140" s="104"/>
      <c r="I140" s="104"/>
      <c r="J140" s="104"/>
      <c r="K140" s="104"/>
    </row>
    <row r="141" spans="1:11" ht="15.95" customHeight="1" x14ac:dyDescent="0.2">
      <c r="A141" s="99">
        <v>46082</v>
      </c>
      <c r="B141" s="100">
        <v>0.60416666666666696</v>
      </c>
      <c r="D141" s="101" t="s">
        <v>219</v>
      </c>
      <c r="E141" s="102" t="s">
        <v>534</v>
      </c>
      <c r="F141" s="103" t="s">
        <v>232</v>
      </c>
      <c r="G141" s="104"/>
      <c r="H141" s="104"/>
      <c r="I141" s="104"/>
      <c r="J141" s="104"/>
      <c r="K141" s="104"/>
    </row>
    <row r="142" spans="1:11" ht="15.95" customHeight="1" x14ac:dyDescent="0.2">
      <c r="A142" s="99">
        <v>46082</v>
      </c>
      <c r="B142" s="100">
        <v>0.20833333333333301</v>
      </c>
      <c r="C142" s="108"/>
      <c r="D142" s="101" t="s">
        <v>317</v>
      </c>
      <c r="E142" s="102" t="s">
        <v>628</v>
      </c>
      <c r="F142" s="103" t="s">
        <v>317</v>
      </c>
      <c r="G142" s="104"/>
      <c r="H142" s="104"/>
      <c r="I142" s="104"/>
      <c r="J142" s="104"/>
      <c r="K142" s="104"/>
    </row>
    <row r="143" spans="1:11" ht="15.95" customHeight="1" x14ac:dyDescent="0.2">
      <c r="A143" s="99">
        <v>46081</v>
      </c>
      <c r="B143" s="100">
        <v>0.91666666666666663</v>
      </c>
      <c r="C143" s="108">
        <f>IF(B142&lt;B143,B142+1-B143,B142-B143)/TIME(7,0,0)</f>
        <v>0.999999999999999</v>
      </c>
      <c r="D143" s="101" t="s">
        <v>317</v>
      </c>
      <c r="E143" s="102" t="s">
        <v>628</v>
      </c>
      <c r="F143" s="103" t="s">
        <v>317</v>
      </c>
      <c r="G143" s="104"/>
      <c r="H143" s="104"/>
      <c r="I143" s="104"/>
      <c r="J143" s="104"/>
      <c r="K143" s="104"/>
    </row>
    <row r="144" spans="1:11" ht="15.95" customHeight="1" x14ac:dyDescent="0.2">
      <c r="A144" s="99">
        <v>46082</v>
      </c>
      <c r="B144" s="100">
        <v>0.3125</v>
      </c>
      <c r="C144" s="107">
        <f>(B145-B144)/TIME(7,0,0)</f>
        <v>1.0000000000000009</v>
      </c>
      <c r="D144" s="101" t="s">
        <v>670</v>
      </c>
      <c r="E144" s="102" t="s">
        <v>334</v>
      </c>
      <c r="F144" s="103" t="s">
        <v>668</v>
      </c>
      <c r="G144" s="104"/>
      <c r="H144" s="104"/>
      <c r="I144" s="104"/>
      <c r="J144" s="104"/>
      <c r="K144" s="104"/>
    </row>
    <row r="145" spans="1:11" ht="15.95" customHeight="1" x14ac:dyDescent="0.2">
      <c r="A145" s="99">
        <v>46082</v>
      </c>
      <c r="B145" s="100">
        <v>0.60416666666666696</v>
      </c>
      <c r="D145" s="101" t="s">
        <v>670</v>
      </c>
      <c r="E145" s="102" t="s">
        <v>334</v>
      </c>
      <c r="F145" s="103" t="s">
        <v>668</v>
      </c>
      <c r="G145" s="104"/>
      <c r="H145" s="104"/>
      <c r="I145" s="104"/>
      <c r="J145" s="104"/>
      <c r="K145" s="104"/>
    </row>
    <row r="146" spans="1:11" ht="15.95" customHeight="1" x14ac:dyDescent="0.2">
      <c r="A146" s="99">
        <v>46082</v>
      </c>
      <c r="B146" s="100">
        <v>0.3125</v>
      </c>
      <c r="C146" s="107">
        <f>(B147-B146)/TIME(7,0,0)</f>
        <v>1.0000000000000009</v>
      </c>
      <c r="D146" s="101" t="s">
        <v>58</v>
      </c>
      <c r="E146" s="102" t="s">
        <v>381</v>
      </c>
      <c r="F146" s="103" t="s">
        <v>42</v>
      </c>
      <c r="G146" s="104"/>
      <c r="H146" s="104"/>
      <c r="I146" s="104"/>
      <c r="J146" s="104"/>
      <c r="K146" s="104"/>
    </row>
    <row r="147" spans="1:11" ht="15.95" customHeight="1" x14ac:dyDescent="0.2">
      <c r="A147" s="99">
        <v>46082</v>
      </c>
      <c r="B147" s="100">
        <v>0.60416666666666696</v>
      </c>
      <c r="D147" s="101" t="s">
        <v>58</v>
      </c>
      <c r="E147" s="102" t="s">
        <v>381</v>
      </c>
      <c r="F147" s="103" t="s">
        <v>42</v>
      </c>
      <c r="G147" s="104"/>
      <c r="H147" s="104"/>
      <c r="I147" s="104"/>
      <c r="J147" s="104"/>
      <c r="K147" s="104"/>
    </row>
    <row r="148" spans="1:11" ht="15.95" customHeight="1" x14ac:dyDescent="0.2">
      <c r="A148" s="99">
        <v>46082</v>
      </c>
      <c r="B148" s="100">
        <v>0.3125</v>
      </c>
      <c r="C148" s="107">
        <f>(B149-B148)/TIME(7,0,0)</f>
        <v>1.0000000000000009</v>
      </c>
      <c r="D148" s="101" t="s">
        <v>141</v>
      </c>
      <c r="E148" s="102" t="s">
        <v>462</v>
      </c>
      <c r="F148" s="103" t="s">
        <v>138</v>
      </c>
      <c r="G148" s="104"/>
      <c r="H148" s="104"/>
      <c r="I148" s="104"/>
      <c r="J148" s="104"/>
      <c r="K148" s="104"/>
    </row>
    <row r="149" spans="1:11" ht="15.95" customHeight="1" x14ac:dyDescent="0.2">
      <c r="A149" s="99">
        <v>46082</v>
      </c>
      <c r="B149" s="100">
        <v>0.60416666666666696</v>
      </c>
      <c r="D149" s="101" t="s">
        <v>141</v>
      </c>
      <c r="E149" s="102" t="s">
        <v>462</v>
      </c>
      <c r="F149" s="103" t="s">
        <v>138</v>
      </c>
      <c r="G149" s="104"/>
      <c r="H149" s="104"/>
      <c r="I149" s="104"/>
      <c r="J149" s="104"/>
      <c r="K149" s="104"/>
    </row>
    <row r="150" spans="1:11" ht="15.95" customHeight="1" x14ac:dyDescent="0.2">
      <c r="A150" s="99">
        <v>46082</v>
      </c>
      <c r="B150" s="100">
        <v>0.3125</v>
      </c>
      <c r="C150" s="107">
        <f>(B151-B150)/TIME(7,0,0)</f>
        <v>1.0000000000000009</v>
      </c>
      <c r="D150" s="101" t="s">
        <v>678</v>
      </c>
      <c r="E150" s="102" t="s">
        <v>555</v>
      </c>
      <c r="F150" s="103" t="s">
        <v>101</v>
      </c>
      <c r="G150" s="104"/>
      <c r="H150" s="104"/>
      <c r="I150" s="104"/>
      <c r="J150" s="104"/>
      <c r="K150" s="104"/>
    </row>
    <row r="151" spans="1:11" ht="15.95" customHeight="1" x14ac:dyDescent="0.2">
      <c r="A151" s="99">
        <v>46082</v>
      </c>
      <c r="B151" s="100">
        <v>0.60416666666666696</v>
      </c>
      <c r="D151" s="101" t="s">
        <v>678</v>
      </c>
      <c r="E151" s="102" t="s">
        <v>555</v>
      </c>
      <c r="F151" s="103" t="s">
        <v>101</v>
      </c>
      <c r="G151" s="104"/>
      <c r="H151" s="104"/>
      <c r="I151" s="104"/>
      <c r="J151" s="104"/>
      <c r="K151" s="104"/>
    </row>
    <row r="152" spans="1:11" ht="15.95" customHeight="1" x14ac:dyDescent="0.2">
      <c r="A152" s="99">
        <v>46082</v>
      </c>
      <c r="B152" s="100">
        <v>0.3125</v>
      </c>
      <c r="C152" s="107">
        <f>(B153-B152)/TIME(7,0,0)</f>
        <v>1.0000000000000009</v>
      </c>
      <c r="D152" s="101" t="s">
        <v>55</v>
      </c>
      <c r="E152" s="102" t="s">
        <v>378</v>
      </c>
      <c r="F152" s="103" t="s">
        <v>668</v>
      </c>
      <c r="G152" s="104"/>
      <c r="H152" s="104"/>
      <c r="I152" s="104"/>
      <c r="J152" s="104"/>
      <c r="K152" s="104"/>
    </row>
    <row r="153" spans="1:11" ht="15.95" customHeight="1" x14ac:dyDescent="0.2">
      <c r="A153" s="99">
        <v>46082</v>
      </c>
      <c r="B153" s="100">
        <v>0.60416666666666696</v>
      </c>
      <c r="D153" s="101" t="s">
        <v>55</v>
      </c>
      <c r="E153" s="102" t="s">
        <v>378</v>
      </c>
      <c r="F153" s="103" t="s">
        <v>668</v>
      </c>
      <c r="G153" s="104"/>
      <c r="H153" s="104"/>
      <c r="I153" s="104"/>
      <c r="J153" s="104"/>
      <c r="K153" s="104"/>
    </row>
    <row r="154" spans="1:11" ht="15.95" customHeight="1" x14ac:dyDescent="0.2">
      <c r="A154" s="99">
        <v>46082</v>
      </c>
      <c r="B154" s="100">
        <v>0.3125</v>
      </c>
      <c r="C154" s="107">
        <f>(B155-B154)/TIME(7,0,0)</f>
        <v>1.0000000000000009</v>
      </c>
      <c r="D154" s="101" t="s">
        <v>54</v>
      </c>
      <c r="E154" s="102" t="s">
        <v>377</v>
      </c>
      <c r="F154" s="103" t="s">
        <v>42</v>
      </c>
      <c r="G154" s="104"/>
      <c r="H154" s="104"/>
      <c r="I154" s="104"/>
      <c r="J154" s="104"/>
      <c r="K154" s="104"/>
    </row>
    <row r="155" spans="1:11" ht="15.95" customHeight="1" x14ac:dyDescent="0.2">
      <c r="A155" s="99">
        <v>46082</v>
      </c>
      <c r="B155" s="100">
        <v>0.60416666666666696</v>
      </c>
      <c r="D155" s="101" t="s">
        <v>54</v>
      </c>
      <c r="E155" s="102" t="s">
        <v>377</v>
      </c>
      <c r="F155" s="103" t="s">
        <v>42</v>
      </c>
      <c r="G155" s="104"/>
      <c r="H155" s="104"/>
      <c r="I155" s="104"/>
      <c r="J155" s="104"/>
      <c r="K155" s="104"/>
    </row>
    <row r="156" spans="1:11" ht="15.95" customHeight="1" x14ac:dyDescent="0.2">
      <c r="A156" s="99">
        <v>46082</v>
      </c>
      <c r="B156" s="100">
        <v>0.3125</v>
      </c>
      <c r="C156" s="107">
        <f>(B157-B156)/TIME(7,0,0)</f>
        <v>1.0000000000000009</v>
      </c>
      <c r="D156" s="101" t="s">
        <v>144</v>
      </c>
      <c r="E156" s="102" t="s">
        <v>465</v>
      </c>
      <c r="F156" s="103" t="s">
        <v>776</v>
      </c>
      <c r="G156" s="104"/>
      <c r="H156" s="104"/>
      <c r="I156" s="104"/>
      <c r="J156" s="104"/>
      <c r="K156" s="104"/>
    </row>
    <row r="157" spans="1:11" ht="15.95" customHeight="1" x14ac:dyDescent="0.2">
      <c r="A157" s="99">
        <v>46082</v>
      </c>
      <c r="B157" s="100">
        <v>0.60416666666666696</v>
      </c>
      <c r="D157" s="101" t="s">
        <v>144</v>
      </c>
      <c r="E157" s="102" t="s">
        <v>465</v>
      </c>
      <c r="F157" s="103" t="s">
        <v>776</v>
      </c>
      <c r="G157" s="104"/>
      <c r="H157" s="104"/>
      <c r="I157" s="104"/>
      <c r="J157" s="104"/>
      <c r="K157" s="104"/>
    </row>
    <row r="158" spans="1:11" ht="15.95" customHeight="1" x14ac:dyDescent="0.2">
      <c r="A158" s="99">
        <v>46081</v>
      </c>
      <c r="B158" s="100">
        <v>0.91666666666666663</v>
      </c>
      <c r="C158" s="107">
        <v>0</v>
      </c>
      <c r="D158" s="101" t="s">
        <v>321</v>
      </c>
      <c r="E158" s="102" t="s">
        <v>632</v>
      </c>
      <c r="F158" s="103" t="s">
        <v>321</v>
      </c>
      <c r="G158" s="104"/>
      <c r="H158" s="104"/>
      <c r="I158" s="104"/>
      <c r="J158" s="104"/>
      <c r="K158" s="104"/>
    </row>
    <row r="159" spans="1:11" ht="15.95" customHeight="1" x14ac:dyDescent="0.2">
      <c r="A159" s="99">
        <v>46082</v>
      </c>
      <c r="B159" s="100">
        <v>0.3125</v>
      </c>
      <c r="C159" s="107">
        <f>(B160-B159)/TIME(7,0,0)</f>
        <v>1.0000000000000009</v>
      </c>
      <c r="D159" s="101" t="s">
        <v>129</v>
      </c>
      <c r="E159" s="102" t="s">
        <v>636</v>
      </c>
      <c r="F159" s="103" t="s">
        <v>772</v>
      </c>
      <c r="G159" s="104"/>
      <c r="H159" s="104"/>
      <c r="I159" s="104"/>
      <c r="J159" s="104"/>
      <c r="K159" s="104"/>
    </row>
    <row r="160" spans="1:11" ht="15.95" customHeight="1" x14ac:dyDescent="0.2">
      <c r="A160" s="99">
        <v>46082</v>
      </c>
      <c r="B160" s="100">
        <v>0.60416666666666696</v>
      </c>
      <c r="D160" s="101" t="s">
        <v>129</v>
      </c>
      <c r="E160" s="102" t="s">
        <v>636</v>
      </c>
      <c r="F160" s="103" t="s">
        <v>772</v>
      </c>
      <c r="G160" s="104"/>
      <c r="H160" s="104"/>
      <c r="I160" s="104"/>
      <c r="J160" s="104"/>
      <c r="K160" s="104"/>
    </row>
    <row r="161" spans="1:11" ht="15.95" customHeight="1" x14ac:dyDescent="0.2">
      <c r="A161" s="99">
        <v>46082</v>
      </c>
      <c r="B161" s="100">
        <v>0.3125</v>
      </c>
      <c r="C161" s="107">
        <f>(B162-B161)/TIME(7,0,0)</f>
        <v>1.0000000000000009</v>
      </c>
      <c r="D161" s="101" t="s">
        <v>705</v>
      </c>
      <c r="E161" s="102" t="s">
        <v>736</v>
      </c>
      <c r="F161" s="103"/>
      <c r="G161" s="104"/>
      <c r="H161" s="104"/>
      <c r="I161" s="104"/>
      <c r="J161" s="104"/>
      <c r="K161" s="104"/>
    </row>
    <row r="162" spans="1:11" ht="15.95" customHeight="1" x14ac:dyDescent="0.2">
      <c r="A162" s="99">
        <v>46082</v>
      </c>
      <c r="B162" s="100">
        <v>0.60416666666666696</v>
      </c>
      <c r="D162" s="101" t="s">
        <v>705</v>
      </c>
      <c r="E162" s="102" t="s">
        <v>736</v>
      </c>
      <c r="F162" s="103"/>
      <c r="G162" s="104"/>
      <c r="H162" s="104"/>
      <c r="I162" s="104"/>
      <c r="J162" s="104"/>
      <c r="K162" s="104"/>
    </row>
    <row r="163" spans="1:11" ht="15.95" customHeight="1" x14ac:dyDescent="0.2">
      <c r="A163" s="99">
        <v>46082</v>
      </c>
      <c r="B163" s="100">
        <v>0.41388888888888886</v>
      </c>
      <c r="C163" s="107">
        <v>0.65</v>
      </c>
      <c r="D163" s="101" t="s">
        <v>760</v>
      </c>
      <c r="E163" s="102" t="s">
        <v>477</v>
      </c>
      <c r="F163" s="103" t="s">
        <v>155</v>
      </c>
      <c r="G163" s="104"/>
      <c r="H163" s="104"/>
      <c r="I163" s="104"/>
      <c r="J163" s="104"/>
      <c r="K163" s="104"/>
    </row>
    <row r="164" spans="1:11" ht="15.95" customHeight="1" x14ac:dyDescent="0.2">
      <c r="A164" s="99">
        <v>46082</v>
      </c>
      <c r="B164" s="100">
        <v>0.60416666666666696</v>
      </c>
      <c r="D164" s="101" t="s">
        <v>760</v>
      </c>
      <c r="E164" s="102" t="s">
        <v>477</v>
      </c>
      <c r="F164" s="103" t="s">
        <v>155</v>
      </c>
      <c r="G164" s="104"/>
      <c r="H164" s="104"/>
      <c r="I164" s="104"/>
      <c r="J164" s="104"/>
      <c r="K164" s="104"/>
    </row>
    <row r="165" spans="1:11" ht="15.95" customHeight="1" x14ac:dyDescent="0.2">
      <c r="A165" s="99">
        <v>46082</v>
      </c>
      <c r="B165" s="100">
        <v>0.3125</v>
      </c>
      <c r="C165" s="107">
        <f>(B166-B165)/TIME(7,0,0)</f>
        <v>1.0000000000000009</v>
      </c>
      <c r="D165" s="101" t="s">
        <v>41</v>
      </c>
      <c r="E165" s="102" t="s">
        <v>364</v>
      </c>
      <c r="F165" s="103" t="s">
        <v>785</v>
      </c>
      <c r="G165" s="104"/>
      <c r="H165" s="104"/>
      <c r="I165" s="104"/>
      <c r="J165" s="104"/>
      <c r="K165" s="104"/>
    </row>
    <row r="166" spans="1:11" ht="15.95" customHeight="1" x14ac:dyDescent="0.2">
      <c r="A166" s="99">
        <v>46082</v>
      </c>
      <c r="B166" s="100">
        <v>0.60416666666666696</v>
      </c>
      <c r="D166" s="101" t="s">
        <v>41</v>
      </c>
      <c r="E166" s="102" t="s">
        <v>364</v>
      </c>
      <c r="F166" s="103" t="s">
        <v>785</v>
      </c>
      <c r="G166" s="104"/>
      <c r="H166" s="104"/>
      <c r="I166" s="104"/>
      <c r="J166" s="104"/>
      <c r="K166" s="104"/>
    </row>
    <row r="167" spans="1:11" ht="15.95" customHeight="1" x14ac:dyDescent="0.2">
      <c r="A167" s="99">
        <v>46082</v>
      </c>
      <c r="B167" s="100">
        <v>0.20833333333333334</v>
      </c>
      <c r="C167" s="108"/>
      <c r="D167" s="101" t="s">
        <v>744</v>
      </c>
      <c r="E167" s="102" t="s">
        <v>336</v>
      </c>
      <c r="F167" s="103" t="s">
        <v>744</v>
      </c>
      <c r="G167" s="104"/>
      <c r="H167" s="104"/>
      <c r="I167" s="104"/>
      <c r="J167" s="104"/>
      <c r="K167" s="104"/>
    </row>
    <row r="168" spans="1:11" ht="15.95" customHeight="1" x14ac:dyDescent="0.2">
      <c r="A168" s="99">
        <v>46081</v>
      </c>
      <c r="B168" s="100">
        <v>0.91666666666666663</v>
      </c>
      <c r="C168" s="108">
        <f>IF(B167&lt;B168,B167+1-B168,B167-B168)/TIME(7,0,0)</f>
        <v>0.99999999999999978</v>
      </c>
      <c r="D168" s="101" t="s">
        <v>744</v>
      </c>
      <c r="E168" s="102" t="s">
        <v>336</v>
      </c>
      <c r="F168" s="103" t="s">
        <v>744</v>
      </c>
      <c r="G168" s="104"/>
      <c r="H168" s="104"/>
      <c r="I168" s="104"/>
      <c r="J168" s="104"/>
      <c r="K168" s="104"/>
    </row>
    <row r="169" spans="1:11" ht="15.95" customHeight="1" x14ac:dyDescent="0.2">
      <c r="A169" s="99">
        <v>46082</v>
      </c>
      <c r="B169" s="100">
        <v>0.3125</v>
      </c>
      <c r="C169" s="107">
        <f>(B170-B169)/TIME(7,0,0)</f>
        <v>1.0000000000000009</v>
      </c>
      <c r="D169" s="101" t="s">
        <v>213</v>
      </c>
      <c r="E169" s="102" t="s">
        <v>529</v>
      </c>
      <c r="F169" s="103" t="s">
        <v>208</v>
      </c>
      <c r="G169" s="104"/>
      <c r="H169" s="104"/>
      <c r="I169" s="104"/>
      <c r="J169" s="104"/>
      <c r="K169" s="104"/>
    </row>
    <row r="170" spans="1:11" ht="15.95" customHeight="1" x14ac:dyDescent="0.2">
      <c r="A170" s="99">
        <v>46082</v>
      </c>
      <c r="B170" s="100">
        <v>0.60416666666666696</v>
      </c>
      <c r="D170" s="101" t="s">
        <v>213</v>
      </c>
      <c r="E170" s="102" t="s">
        <v>529</v>
      </c>
      <c r="F170" s="103" t="s">
        <v>208</v>
      </c>
      <c r="G170" s="104"/>
      <c r="H170" s="104"/>
      <c r="I170" s="104"/>
      <c r="J170" s="104"/>
      <c r="K170" s="104"/>
    </row>
    <row r="171" spans="1:11" ht="15.95" customHeight="1" x14ac:dyDescent="0.2">
      <c r="A171" s="99">
        <v>46082</v>
      </c>
      <c r="B171" s="100">
        <v>0.3125</v>
      </c>
      <c r="C171" s="107">
        <f>(B172-B171)/TIME(7,0,0)</f>
        <v>1.0000000000000009</v>
      </c>
      <c r="D171" s="101" t="s">
        <v>288</v>
      </c>
      <c r="E171" s="102" t="s">
        <v>597</v>
      </c>
      <c r="F171" s="103" t="s">
        <v>787</v>
      </c>
      <c r="G171" s="104"/>
      <c r="H171" s="104"/>
      <c r="I171" s="104"/>
      <c r="J171" s="104"/>
      <c r="K171" s="104"/>
    </row>
    <row r="172" spans="1:11" ht="15.95" customHeight="1" x14ac:dyDescent="0.2">
      <c r="A172" s="99">
        <v>46082</v>
      </c>
      <c r="B172" s="100">
        <v>0.60416666666666696</v>
      </c>
      <c r="D172" s="101" t="s">
        <v>288</v>
      </c>
      <c r="E172" s="102" t="s">
        <v>597</v>
      </c>
      <c r="F172" s="103" t="s">
        <v>787</v>
      </c>
      <c r="G172" s="104"/>
      <c r="H172" s="104"/>
      <c r="I172" s="104"/>
      <c r="J172" s="104"/>
      <c r="K172" s="104"/>
    </row>
    <row r="173" spans="1:11" ht="15.95" customHeight="1" x14ac:dyDescent="0.2">
      <c r="A173" s="99">
        <v>46082</v>
      </c>
      <c r="B173" s="100">
        <v>0.3125</v>
      </c>
      <c r="C173" s="107">
        <f>(B174-B173)/TIME(7,0,0)</f>
        <v>1.0000000000000009</v>
      </c>
      <c r="D173" s="101" t="s">
        <v>142</v>
      </c>
      <c r="E173" s="102" t="s">
        <v>463</v>
      </c>
      <c r="F173" s="103" t="s">
        <v>783</v>
      </c>
      <c r="G173" s="104"/>
      <c r="H173" s="104"/>
      <c r="I173" s="104"/>
      <c r="J173" s="104"/>
      <c r="K173" s="104"/>
    </row>
    <row r="174" spans="1:11" ht="15.95" customHeight="1" x14ac:dyDescent="0.2">
      <c r="A174" s="99">
        <v>46082</v>
      </c>
      <c r="B174" s="100">
        <v>0.60416666666666696</v>
      </c>
      <c r="D174" s="101" t="s">
        <v>142</v>
      </c>
      <c r="E174" s="102" t="s">
        <v>463</v>
      </c>
      <c r="F174" s="103" t="s">
        <v>783</v>
      </c>
      <c r="G174" s="104"/>
      <c r="H174" s="104"/>
      <c r="I174" s="104"/>
      <c r="J174" s="104"/>
      <c r="K174" s="104"/>
    </row>
    <row r="175" spans="1:11" ht="15.95" customHeight="1" x14ac:dyDescent="0.2">
      <c r="A175" s="99">
        <v>46082</v>
      </c>
      <c r="B175" s="100">
        <v>0.20833333333333301</v>
      </c>
      <c r="C175" s="108"/>
      <c r="D175" s="101" t="s">
        <v>293</v>
      </c>
      <c r="E175" s="102" t="s">
        <v>602</v>
      </c>
      <c r="F175" s="103" t="s">
        <v>293</v>
      </c>
      <c r="G175" s="104"/>
      <c r="H175" s="104"/>
      <c r="I175" s="104"/>
      <c r="J175" s="104"/>
      <c r="K175" s="104"/>
    </row>
    <row r="176" spans="1:11" ht="15.95" customHeight="1" x14ac:dyDescent="0.2">
      <c r="A176" s="99">
        <v>46081</v>
      </c>
      <c r="B176" s="100">
        <v>0.91666666666666663</v>
      </c>
      <c r="C176" s="108">
        <f>IF(B175&lt;B176,B175+1-B176,B175-B176)/TIME(7,0,0)</f>
        <v>0.999999999999999</v>
      </c>
      <c r="D176" s="101" t="s">
        <v>293</v>
      </c>
      <c r="E176" s="102" t="s">
        <v>602</v>
      </c>
      <c r="F176" s="103" t="s">
        <v>293</v>
      </c>
      <c r="G176" s="104"/>
      <c r="H176" s="104"/>
      <c r="I176" s="104"/>
      <c r="J176" s="104"/>
      <c r="K176" s="104"/>
    </row>
    <row r="177" spans="1:11" ht="15.95" customHeight="1" x14ac:dyDescent="0.2">
      <c r="A177" s="99">
        <v>46082</v>
      </c>
      <c r="B177" s="100">
        <v>0.3125</v>
      </c>
      <c r="C177" s="107">
        <f>(B178-B177)/TIME(7,0,0)</f>
        <v>1.0000000000000009</v>
      </c>
      <c r="D177" s="101" t="s">
        <v>14</v>
      </c>
      <c r="E177" s="102" t="s">
        <v>337</v>
      </c>
      <c r="F177" s="103" t="s">
        <v>788</v>
      </c>
      <c r="G177" s="104"/>
      <c r="H177" s="104"/>
      <c r="I177" s="104"/>
      <c r="J177" s="104"/>
      <c r="K177" s="104"/>
    </row>
    <row r="178" spans="1:11" ht="15.95" customHeight="1" x14ac:dyDescent="0.2">
      <c r="A178" s="99">
        <v>46082</v>
      </c>
      <c r="B178" s="100">
        <v>0.60416666666666696</v>
      </c>
      <c r="D178" s="101" t="s">
        <v>14</v>
      </c>
      <c r="E178" s="102" t="s">
        <v>337</v>
      </c>
      <c r="F178" s="103" t="s">
        <v>788</v>
      </c>
      <c r="G178" s="104"/>
      <c r="H178" s="104"/>
      <c r="I178" s="104"/>
      <c r="J178" s="104"/>
      <c r="K178" s="104"/>
    </row>
    <row r="179" spans="1:11" ht="15.95" customHeight="1" x14ac:dyDescent="0.2">
      <c r="A179" s="99">
        <v>46082</v>
      </c>
      <c r="B179" s="100">
        <v>0.3125</v>
      </c>
      <c r="C179" s="107">
        <v>1</v>
      </c>
      <c r="D179" s="101" t="s">
        <v>4</v>
      </c>
      <c r="E179" s="102" t="s">
        <v>644</v>
      </c>
      <c r="F179" s="103" t="s">
        <v>672</v>
      </c>
      <c r="G179" s="104"/>
      <c r="H179" s="104"/>
      <c r="I179" s="104"/>
      <c r="J179" s="104"/>
      <c r="K179" s="104"/>
    </row>
    <row r="180" spans="1:11" ht="15.95" customHeight="1" x14ac:dyDescent="0.2">
      <c r="A180" s="99">
        <v>46082</v>
      </c>
      <c r="B180" s="100">
        <v>0.3125</v>
      </c>
      <c r="C180" s="107">
        <f>(B181-B180)/TIME(7,0,0)</f>
        <v>1.0000000000000009</v>
      </c>
      <c r="D180" s="101" t="s">
        <v>12</v>
      </c>
      <c r="E180" s="102" t="s">
        <v>335</v>
      </c>
      <c r="F180" s="103" t="s">
        <v>687</v>
      </c>
      <c r="G180" s="104"/>
      <c r="H180" s="104"/>
      <c r="I180" s="104"/>
      <c r="J180" s="104"/>
      <c r="K180" s="104"/>
    </row>
    <row r="181" spans="1:11" ht="15.95" customHeight="1" x14ac:dyDescent="0.2">
      <c r="A181" s="99">
        <v>46082</v>
      </c>
      <c r="B181" s="100">
        <v>0.60416666666666696</v>
      </c>
      <c r="D181" s="101" t="s">
        <v>12</v>
      </c>
      <c r="E181" s="102" t="s">
        <v>335</v>
      </c>
      <c r="F181" s="103" t="s">
        <v>687</v>
      </c>
      <c r="G181" s="104"/>
      <c r="H181" s="104"/>
      <c r="I181" s="104"/>
      <c r="J181" s="104"/>
      <c r="K181" s="104"/>
    </row>
    <row r="182" spans="1:11" ht="15.95" customHeight="1" x14ac:dyDescent="0.2">
      <c r="A182" s="99">
        <v>46082</v>
      </c>
      <c r="B182" s="100">
        <v>0.3125</v>
      </c>
      <c r="C182" s="107">
        <f>(B183-B182)/TIME(7,0,0)</f>
        <v>1.0000000000000009</v>
      </c>
      <c r="D182" s="101" t="s">
        <v>121</v>
      </c>
      <c r="E182" s="102" t="s">
        <v>445</v>
      </c>
      <c r="F182" s="103" t="s">
        <v>668</v>
      </c>
      <c r="G182" s="104"/>
      <c r="H182" s="104"/>
      <c r="I182" s="104"/>
      <c r="J182" s="104"/>
      <c r="K182" s="104"/>
    </row>
    <row r="183" spans="1:11" ht="15.95" customHeight="1" x14ac:dyDescent="0.2">
      <c r="A183" s="99">
        <v>46082</v>
      </c>
      <c r="B183" s="100">
        <v>0.60416666666666696</v>
      </c>
      <c r="D183" s="101" t="s">
        <v>121</v>
      </c>
      <c r="E183" s="102" t="s">
        <v>445</v>
      </c>
      <c r="F183" s="103" t="s">
        <v>668</v>
      </c>
      <c r="G183" s="104"/>
      <c r="H183" s="104"/>
      <c r="I183" s="104"/>
      <c r="J183" s="104"/>
      <c r="K183" s="104"/>
    </row>
    <row r="184" spans="1:11" ht="15.95" customHeight="1" x14ac:dyDescent="0.2">
      <c r="A184" s="99">
        <v>46082</v>
      </c>
      <c r="B184" s="100">
        <v>0.3125</v>
      </c>
      <c r="C184" s="107">
        <f>(B185-B184)/TIME(7,0,0)</f>
        <v>1.0000000000000009</v>
      </c>
      <c r="D184" s="101" t="s">
        <v>59</v>
      </c>
      <c r="E184" s="102" t="s">
        <v>382</v>
      </c>
      <c r="F184" s="103" t="s">
        <v>42</v>
      </c>
      <c r="G184" s="104"/>
      <c r="H184" s="104"/>
      <c r="I184" s="104"/>
      <c r="J184" s="104"/>
      <c r="K184" s="104"/>
    </row>
    <row r="185" spans="1:11" ht="15.95" customHeight="1" x14ac:dyDescent="0.2">
      <c r="A185" s="99">
        <v>46082</v>
      </c>
      <c r="B185" s="100">
        <v>0.60416666666666696</v>
      </c>
      <c r="D185" s="101" t="s">
        <v>59</v>
      </c>
      <c r="E185" s="102" t="s">
        <v>382</v>
      </c>
      <c r="F185" s="103" t="s">
        <v>42</v>
      </c>
      <c r="G185" s="104"/>
      <c r="H185" s="104"/>
      <c r="I185" s="104"/>
      <c r="J185" s="104"/>
      <c r="K185" s="104"/>
    </row>
    <row r="186" spans="1:11" ht="15.95" customHeight="1" x14ac:dyDescent="0.2">
      <c r="A186" s="99">
        <v>46082</v>
      </c>
      <c r="B186" s="100">
        <v>0.3125</v>
      </c>
      <c r="C186" s="107">
        <f>(B187-B186)/TIME(7,0,0)</f>
        <v>1.0000000000000009</v>
      </c>
      <c r="D186" s="101" t="s">
        <v>135</v>
      </c>
      <c r="E186" s="102" t="s">
        <v>456</v>
      </c>
      <c r="F186" s="103" t="s">
        <v>131</v>
      </c>
      <c r="G186" s="104"/>
      <c r="H186" s="104"/>
      <c r="I186" s="104"/>
      <c r="J186" s="104"/>
      <c r="K186" s="104"/>
    </row>
    <row r="187" spans="1:11" ht="15.95" customHeight="1" x14ac:dyDescent="0.2">
      <c r="A187" s="99">
        <v>46082</v>
      </c>
      <c r="B187" s="100">
        <v>0.60416666666666696</v>
      </c>
      <c r="D187" s="101" t="s">
        <v>135</v>
      </c>
      <c r="E187" s="102" t="s">
        <v>456</v>
      </c>
      <c r="F187" s="103" t="s">
        <v>131</v>
      </c>
      <c r="G187" s="104"/>
      <c r="H187" s="104"/>
      <c r="I187" s="104"/>
      <c r="J187" s="104"/>
      <c r="K187" s="104"/>
    </row>
    <row r="188" spans="1:11" ht="15.95" customHeight="1" x14ac:dyDescent="0.2">
      <c r="A188" s="99">
        <v>46082</v>
      </c>
      <c r="B188" s="100"/>
      <c r="C188" s="108"/>
      <c r="D188" s="101" t="s">
        <v>135</v>
      </c>
      <c r="E188" s="102" t="s">
        <v>456</v>
      </c>
      <c r="F188" s="103" t="s">
        <v>135</v>
      </c>
      <c r="G188" s="104"/>
      <c r="H188" s="104"/>
      <c r="I188" s="104"/>
      <c r="J188" s="104"/>
      <c r="K188" s="104"/>
    </row>
    <row r="189" spans="1:11" ht="15.95" customHeight="1" x14ac:dyDescent="0.2">
      <c r="A189" s="99">
        <v>46081</v>
      </c>
      <c r="B189" s="100"/>
      <c r="C189" s="108"/>
      <c r="D189" s="101" t="s">
        <v>135</v>
      </c>
      <c r="E189" s="102" t="s">
        <v>456</v>
      </c>
      <c r="F189" s="103" t="s">
        <v>135</v>
      </c>
      <c r="G189" s="104"/>
      <c r="H189" s="104"/>
      <c r="I189" s="104"/>
      <c r="J189" s="104"/>
      <c r="K189" s="104"/>
    </row>
    <row r="190" spans="1:11" ht="15.95" customHeight="1" x14ac:dyDescent="0.2">
      <c r="A190" s="99">
        <v>46082</v>
      </c>
      <c r="B190" s="100">
        <v>0.3125</v>
      </c>
      <c r="C190" s="107">
        <f>(B191-B190)/TIME(7,0,0)</f>
        <v>1.0000000000000009</v>
      </c>
      <c r="D190" s="101" t="s">
        <v>282</v>
      </c>
      <c r="E190" s="102" t="s">
        <v>590</v>
      </c>
      <c r="F190" s="103" t="s">
        <v>275</v>
      </c>
      <c r="G190" s="104"/>
      <c r="H190" s="104"/>
      <c r="I190" s="104"/>
      <c r="J190" s="104"/>
      <c r="K190" s="104"/>
    </row>
    <row r="191" spans="1:11" ht="15.95" customHeight="1" x14ac:dyDescent="0.2">
      <c r="A191" s="99">
        <v>46082</v>
      </c>
      <c r="B191" s="100">
        <v>0.60416666666666696</v>
      </c>
      <c r="D191" s="101" t="s">
        <v>282</v>
      </c>
      <c r="E191" s="102" t="s">
        <v>590</v>
      </c>
      <c r="F191" s="103" t="s">
        <v>275</v>
      </c>
      <c r="G191" s="104"/>
      <c r="H191" s="104"/>
      <c r="I191" s="104"/>
      <c r="J191" s="104"/>
      <c r="K191" s="104"/>
    </row>
    <row r="192" spans="1:11" ht="15.95" customHeight="1" x14ac:dyDescent="0.2">
      <c r="A192" s="99">
        <v>46082</v>
      </c>
      <c r="B192" s="100">
        <v>0.20833333333333301</v>
      </c>
      <c r="C192" s="108"/>
      <c r="D192" s="101" t="s">
        <v>298</v>
      </c>
      <c r="E192" s="102" t="s">
        <v>608</v>
      </c>
      <c r="F192" s="103" t="s">
        <v>298</v>
      </c>
      <c r="G192" s="104"/>
      <c r="H192" s="104"/>
      <c r="I192" s="104"/>
      <c r="J192" s="104"/>
      <c r="K192" s="104"/>
    </row>
    <row r="193" spans="1:11" ht="15.95" customHeight="1" x14ac:dyDescent="0.2">
      <c r="A193" s="99">
        <v>46081</v>
      </c>
      <c r="B193" s="100">
        <v>0.91666666666666663</v>
      </c>
      <c r="C193" s="108">
        <f>IF(B192&lt;B193,B192+1-B193,B192-B193)/TIME(7,0,0)</f>
        <v>0.999999999999999</v>
      </c>
      <c r="D193" s="101" t="s">
        <v>298</v>
      </c>
      <c r="E193" s="102" t="s">
        <v>608</v>
      </c>
      <c r="F193" s="103" t="s">
        <v>298</v>
      </c>
      <c r="G193" s="104"/>
      <c r="H193" s="104"/>
      <c r="I193" s="104"/>
      <c r="J193" s="104"/>
      <c r="K193" s="104"/>
    </row>
    <row r="194" spans="1:11" ht="15.95" customHeight="1" x14ac:dyDescent="0.2">
      <c r="A194" s="99">
        <v>46082</v>
      </c>
      <c r="B194" s="100">
        <v>0.3125</v>
      </c>
      <c r="C194" s="107">
        <f>(B195-B194)/TIME(7,0,0)</f>
        <v>1.0000000000000009</v>
      </c>
      <c r="D194" s="101" t="s">
        <v>108</v>
      </c>
      <c r="E194" s="102" t="s">
        <v>432</v>
      </c>
      <c r="F194" s="103" t="s">
        <v>668</v>
      </c>
      <c r="G194" s="104"/>
      <c r="H194" s="104"/>
      <c r="I194" s="104"/>
      <c r="J194" s="104"/>
      <c r="K194" s="104"/>
    </row>
    <row r="195" spans="1:11" ht="15.95" customHeight="1" x14ac:dyDescent="0.2">
      <c r="A195" s="99">
        <v>46082</v>
      </c>
      <c r="B195" s="100">
        <v>0.60416666666666696</v>
      </c>
      <c r="D195" s="101" t="s">
        <v>108</v>
      </c>
      <c r="E195" s="102" t="s">
        <v>432</v>
      </c>
      <c r="F195" s="103" t="s">
        <v>668</v>
      </c>
      <c r="G195" s="104"/>
      <c r="H195" s="104"/>
      <c r="I195" s="104"/>
      <c r="J195" s="104"/>
      <c r="K195" s="104"/>
    </row>
    <row r="196" spans="1:11" ht="15.95" customHeight="1" x14ac:dyDescent="0.2">
      <c r="A196" s="99">
        <v>46082</v>
      </c>
      <c r="B196" s="100">
        <v>0.3125</v>
      </c>
      <c r="C196" s="107">
        <f>(B197-B196)/TIME(7,0,0)</f>
        <v>1.0000000000000009</v>
      </c>
      <c r="D196" s="101" t="s">
        <v>281</v>
      </c>
      <c r="E196" s="102" t="s">
        <v>589</v>
      </c>
      <c r="F196" s="103" t="s">
        <v>275</v>
      </c>
      <c r="G196" s="104"/>
      <c r="H196" s="104"/>
      <c r="I196" s="104"/>
      <c r="J196" s="104"/>
      <c r="K196" s="104"/>
    </row>
    <row r="197" spans="1:11" ht="15.95" customHeight="1" x14ac:dyDescent="0.2">
      <c r="A197" s="99">
        <v>46082</v>
      </c>
      <c r="B197" s="100">
        <v>0.60416666666666696</v>
      </c>
      <c r="D197" s="101" t="s">
        <v>281</v>
      </c>
      <c r="E197" s="102" t="s">
        <v>589</v>
      </c>
      <c r="F197" s="103" t="s">
        <v>275</v>
      </c>
      <c r="G197" s="104"/>
      <c r="H197" s="104"/>
      <c r="I197" s="104"/>
      <c r="J197" s="104"/>
      <c r="K197" s="104"/>
    </row>
    <row r="198" spans="1:11" ht="15.95" customHeight="1" x14ac:dyDescent="0.2">
      <c r="A198" s="99">
        <v>46082</v>
      </c>
      <c r="B198" s="100">
        <v>0.3125</v>
      </c>
      <c r="C198" s="107">
        <f>(B199-B198)/TIME(7,0,0)</f>
        <v>1.0000000000000009</v>
      </c>
      <c r="D198" s="101" t="s">
        <v>81</v>
      </c>
      <c r="E198" s="102" t="s">
        <v>403</v>
      </c>
      <c r="F198" s="103" t="s">
        <v>674</v>
      </c>
      <c r="G198" s="104"/>
      <c r="H198" s="104"/>
      <c r="I198" s="104"/>
      <c r="J198" s="104"/>
      <c r="K198" s="104"/>
    </row>
    <row r="199" spans="1:11" ht="15.95" customHeight="1" x14ac:dyDescent="0.2">
      <c r="A199" s="99">
        <v>46082</v>
      </c>
      <c r="B199" s="100">
        <v>0.60416666666666696</v>
      </c>
      <c r="D199" s="101" t="s">
        <v>81</v>
      </c>
      <c r="E199" s="102" t="s">
        <v>403</v>
      </c>
      <c r="F199" s="103" t="s">
        <v>674</v>
      </c>
      <c r="G199" s="104"/>
      <c r="H199" s="104"/>
      <c r="I199" s="104"/>
      <c r="J199" s="104"/>
      <c r="K199" s="104"/>
    </row>
    <row r="200" spans="1:11" ht="15.95" customHeight="1" x14ac:dyDescent="0.2">
      <c r="A200" s="99">
        <v>46082</v>
      </c>
      <c r="B200" s="100">
        <v>0.20833333333333301</v>
      </c>
      <c r="C200" s="108"/>
      <c r="D200" s="101" t="s">
        <v>310</v>
      </c>
      <c r="E200" s="102" t="s">
        <v>621</v>
      </c>
      <c r="F200" s="103" t="s">
        <v>310</v>
      </c>
      <c r="G200" s="104"/>
      <c r="H200" s="104"/>
      <c r="I200" s="104"/>
      <c r="J200" s="104"/>
      <c r="K200" s="104"/>
    </row>
    <row r="201" spans="1:11" ht="15.95" customHeight="1" x14ac:dyDescent="0.2">
      <c r="A201" s="99">
        <v>46081</v>
      </c>
      <c r="B201" s="100">
        <v>0.91666666666666663</v>
      </c>
      <c r="C201" s="108">
        <f>IF(B200&lt;B201,B200+1-B201,B200-B201)/TIME(7,0,0)</f>
        <v>0.999999999999999</v>
      </c>
      <c r="D201" s="101" t="s">
        <v>310</v>
      </c>
      <c r="E201" s="102" t="s">
        <v>621</v>
      </c>
      <c r="F201" s="103" t="s">
        <v>310</v>
      </c>
      <c r="G201" s="104"/>
      <c r="H201" s="104"/>
      <c r="I201" s="104"/>
      <c r="J201" s="104"/>
      <c r="K201" s="104"/>
    </row>
    <row r="202" spans="1:11" ht="15.95" customHeight="1" x14ac:dyDescent="0.2">
      <c r="A202" s="99">
        <v>46082</v>
      </c>
      <c r="B202" s="100">
        <v>0.20833333333333334</v>
      </c>
      <c r="C202" s="108"/>
      <c r="D202" s="101" t="s">
        <v>303</v>
      </c>
      <c r="E202" s="102" t="s">
        <v>613</v>
      </c>
      <c r="F202" s="103" t="s">
        <v>303</v>
      </c>
      <c r="G202" s="104"/>
      <c r="H202" s="104"/>
      <c r="I202" s="104"/>
      <c r="J202" s="104"/>
      <c r="K202" s="104"/>
    </row>
    <row r="203" spans="1:11" ht="15.95" customHeight="1" x14ac:dyDescent="0.2">
      <c r="A203" s="99">
        <v>46081</v>
      </c>
      <c r="B203" s="100">
        <v>0.91666666666666663</v>
      </c>
      <c r="C203" s="108">
        <f>IF(B202&lt;B203,B202+1-B203,B202-B203)/TIME(7,0,0)</f>
        <v>0.99999999999999978</v>
      </c>
      <c r="D203" s="101" t="s">
        <v>303</v>
      </c>
      <c r="E203" s="102" t="s">
        <v>613</v>
      </c>
      <c r="F203" s="103" t="s">
        <v>303</v>
      </c>
      <c r="G203" s="104"/>
      <c r="H203" s="104"/>
      <c r="I203" s="104"/>
      <c r="J203" s="104"/>
      <c r="K203" s="104"/>
    </row>
    <row r="204" spans="1:11" ht="15.95" customHeight="1" x14ac:dyDescent="0.2">
      <c r="A204" s="99">
        <v>46082</v>
      </c>
      <c r="B204" s="100">
        <v>0.20833333333333301</v>
      </c>
      <c r="C204" s="108"/>
      <c r="D204" s="101" t="s">
        <v>301</v>
      </c>
      <c r="E204" s="102" t="s">
        <v>611</v>
      </c>
      <c r="F204" s="103" t="s">
        <v>301</v>
      </c>
      <c r="G204" s="104"/>
      <c r="H204" s="104"/>
      <c r="I204" s="104"/>
      <c r="J204" s="104"/>
      <c r="K204" s="104"/>
    </row>
    <row r="205" spans="1:11" ht="15.95" customHeight="1" x14ac:dyDescent="0.2">
      <c r="A205" s="99">
        <v>46081</v>
      </c>
      <c r="B205" s="100">
        <v>0.91666666666666663</v>
      </c>
      <c r="C205" s="108">
        <f>IF(B204&lt;B205,B204+1-B205,B204-B205)/TIME(7,0,0)</f>
        <v>0.999999999999999</v>
      </c>
      <c r="D205" s="101" t="s">
        <v>301</v>
      </c>
      <c r="E205" s="102" t="s">
        <v>611</v>
      </c>
      <c r="F205" s="103" t="s">
        <v>301</v>
      </c>
      <c r="G205" s="104"/>
      <c r="H205" s="104"/>
      <c r="I205" s="104"/>
      <c r="J205" s="104"/>
      <c r="K205" s="104"/>
    </row>
    <row r="206" spans="1:11" ht="15.95" customHeight="1" x14ac:dyDescent="0.2">
      <c r="A206" s="99">
        <v>46082</v>
      </c>
      <c r="B206" s="100">
        <v>0.3125</v>
      </c>
      <c r="C206" s="107">
        <f>(B207-B206)/TIME(7,0,0)</f>
        <v>1.0000000000000009</v>
      </c>
      <c r="D206" s="101" t="s">
        <v>287</v>
      </c>
      <c r="E206" s="102" t="s">
        <v>596</v>
      </c>
      <c r="F206" s="103" t="s">
        <v>275</v>
      </c>
      <c r="G206" s="104"/>
      <c r="H206" s="104"/>
      <c r="I206" s="104"/>
      <c r="J206" s="104"/>
      <c r="K206" s="104"/>
    </row>
    <row r="207" spans="1:11" ht="15.95" customHeight="1" x14ac:dyDescent="0.2">
      <c r="A207" s="99">
        <v>46082</v>
      </c>
      <c r="B207" s="100">
        <v>0.60416666666666696</v>
      </c>
      <c r="D207" s="101" t="s">
        <v>287</v>
      </c>
      <c r="E207" s="102" t="s">
        <v>596</v>
      </c>
      <c r="F207" s="103" t="s">
        <v>275</v>
      </c>
      <c r="G207" s="104"/>
      <c r="H207" s="104"/>
      <c r="I207" s="104"/>
      <c r="J207" s="104"/>
      <c r="K207" s="104"/>
    </row>
    <row r="208" spans="1:11" ht="15.95" customHeight="1" x14ac:dyDescent="0.2">
      <c r="A208" s="99">
        <v>46082</v>
      </c>
      <c r="B208" s="100">
        <v>0.3125</v>
      </c>
      <c r="C208" s="107">
        <f>(B209-B208)/TIME(7,0,0)</f>
        <v>1.0000000000000009</v>
      </c>
      <c r="D208" s="101" t="s">
        <v>650</v>
      </c>
      <c r="E208" s="102" t="s">
        <v>639</v>
      </c>
      <c r="F208" s="103"/>
      <c r="G208" s="104"/>
      <c r="H208" s="104"/>
      <c r="I208" s="104"/>
      <c r="J208" s="104"/>
      <c r="K208" s="104"/>
    </row>
    <row r="209" spans="1:11" ht="15.95" customHeight="1" x14ac:dyDescent="0.2">
      <c r="A209" s="99">
        <v>46082</v>
      </c>
      <c r="B209" s="100">
        <v>0.60416666666666696</v>
      </c>
      <c r="D209" s="101" t="s">
        <v>650</v>
      </c>
      <c r="E209" s="102" t="s">
        <v>639</v>
      </c>
      <c r="F209" s="103"/>
      <c r="G209" s="104"/>
      <c r="H209" s="104"/>
      <c r="I209" s="104"/>
      <c r="J209" s="104"/>
      <c r="K209" s="104"/>
    </row>
    <row r="210" spans="1:11" ht="15.95" customHeight="1" x14ac:dyDescent="0.2">
      <c r="A210" s="99">
        <v>46082</v>
      </c>
      <c r="B210" s="100">
        <v>0.3125</v>
      </c>
      <c r="C210" s="107">
        <f>(B211-B210)/TIME(7,0,0)</f>
        <v>1.0000000000000009</v>
      </c>
      <c r="D210" s="101" t="s">
        <v>641</v>
      </c>
      <c r="E210" s="102" t="s">
        <v>642</v>
      </c>
      <c r="F210" s="103" t="s">
        <v>101</v>
      </c>
      <c r="G210" s="104"/>
      <c r="H210" s="104"/>
      <c r="I210" s="104"/>
      <c r="J210" s="104"/>
      <c r="K210" s="104"/>
    </row>
    <row r="211" spans="1:11" ht="15.95" customHeight="1" x14ac:dyDescent="0.2">
      <c r="A211" s="99">
        <v>46082</v>
      </c>
      <c r="B211" s="100">
        <v>0.60416666666666696</v>
      </c>
      <c r="D211" s="101" t="s">
        <v>641</v>
      </c>
      <c r="E211" s="102" t="s">
        <v>642</v>
      </c>
      <c r="F211" s="103" t="s">
        <v>101</v>
      </c>
      <c r="G211" s="104"/>
      <c r="H211" s="104"/>
      <c r="I211" s="104"/>
      <c r="J211" s="104"/>
      <c r="K211" s="104"/>
    </row>
    <row r="212" spans="1:11" ht="15.95" customHeight="1" x14ac:dyDescent="0.2">
      <c r="A212" s="99">
        <v>46082</v>
      </c>
      <c r="B212" s="100">
        <v>0.3125</v>
      </c>
      <c r="C212" s="107">
        <f>(B213-B212)/TIME(7,0,0)</f>
        <v>1.0000000000000009</v>
      </c>
      <c r="D212" s="101" t="s">
        <v>117</v>
      </c>
      <c r="E212" s="102" t="s">
        <v>441</v>
      </c>
      <c r="F212" s="103" t="s">
        <v>101</v>
      </c>
      <c r="G212" s="104"/>
      <c r="H212" s="104"/>
      <c r="I212" s="104"/>
      <c r="J212" s="104"/>
      <c r="K212" s="104"/>
    </row>
    <row r="213" spans="1:11" ht="15.95" customHeight="1" x14ac:dyDescent="0.2">
      <c r="A213" s="99">
        <v>46082</v>
      </c>
      <c r="B213" s="100">
        <v>0.60416666666666696</v>
      </c>
      <c r="D213" s="101" t="s">
        <v>117</v>
      </c>
      <c r="E213" s="102" t="s">
        <v>441</v>
      </c>
      <c r="F213" s="103" t="s">
        <v>101</v>
      </c>
      <c r="G213" s="104"/>
      <c r="H213" s="104"/>
      <c r="I213" s="104"/>
      <c r="J213" s="104"/>
      <c r="K213" s="104"/>
    </row>
    <row r="214" spans="1:11" ht="15.95" customHeight="1" x14ac:dyDescent="0.2">
      <c r="A214" s="99">
        <v>46082</v>
      </c>
      <c r="B214" s="100">
        <v>0.3125</v>
      </c>
      <c r="C214" s="107">
        <f>(B215-B214)/TIME(7,0,0)</f>
        <v>1.0000000000000009</v>
      </c>
      <c r="D214" s="101" t="s">
        <v>692</v>
      </c>
      <c r="E214" s="102" t="s">
        <v>566</v>
      </c>
      <c r="F214" s="103" t="s">
        <v>232</v>
      </c>
      <c r="G214" s="104"/>
      <c r="H214" s="104"/>
      <c r="I214" s="104"/>
      <c r="J214" s="104"/>
      <c r="K214" s="104"/>
    </row>
    <row r="215" spans="1:11" ht="15.95" customHeight="1" x14ac:dyDescent="0.2">
      <c r="A215" s="99">
        <v>46082</v>
      </c>
      <c r="B215" s="100">
        <v>0.60416666666666696</v>
      </c>
      <c r="D215" s="101" t="s">
        <v>692</v>
      </c>
      <c r="E215" s="102" t="s">
        <v>566</v>
      </c>
      <c r="F215" s="103" t="s">
        <v>232</v>
      </c>
      <c r="G215" s="104"/>
      <c r="H215" s="104"/>
      <c r="I215" s="104"/>
      <c r="J215" s="104"/>
      <c r="K215" s="104"/>
    </row>
    <row r="216" spans="1:11" ht="15.95" customHeight="1" x14ac:dyDescent="0.2">
      <c r="A216" s="99">
        <v>46082</v>
      </c>
      <c r="B216" s="100">
        <v>0.3125</v>
      </c>
      <c r="C216" s="107">
        <f>(B217-B216)/TIME(7,0,0)</f>
        <v>1.0000000000000009</v>
      </c>
      <c r="D216" s="101" t="s">
        <v>89</v>
      </c>
      <c r="E216" s="102" t="s">
        <v>411</v>
      </c>
      <c r="F216" s="103" t="s">
        <v>668</v>
      </c>
      <c r="G216" s="104"/>
      <c r="H216" s="104"/>
      <c r="I216" s="104"/>
      <c r="J216" s="104"/>
      <c r="K216" s="104"/>
    </row>
    <row r="217" spans="1:11" ht="15.95" customHeight="1" x14ac:dyDescent="0.2">
      <c r="A217" s="99">
        <v>46082</v>
      </c>
      <c r="B217" s="100">
        <v>0.60416666666666696</v>
      </c>
      <c r="D217" s="101" t="s">
        <v>89</v>
      </c>
      <c r="E217" s="102" t="s">
        <v>411</v>
      </c>
      <c r="F217" s="103" t="s">
        <v>668</v>
      </c>
      <c r="G217" s="104"/>
      <c r="H217" s="104"/>
      <c r="I217" s="104"/>
      <c r="J217" s="104"/>
      <c r="K217" s="104"/>
    </row>
    <row r="218" spans="1:11" ht="15.95" customHeight="1" x14ac:dyDescent="0.2">
      <c r="A218" s="99">
        <v>46082</v>
      </c>
      <c r="B218" s="100">
        <v>0.3125</v>
      </c>
      <c r="C218" s="107">
        <v>1</v>
      </c>
      <c r="D218" s="101" t="s">
        <v>697</v>
      </c>
      <c r="E218" s="102" t="s">
        <v>340</v>
      </c>
      <c r="F218" s="103" t="s">
        <v>702</v>
      </c>
      <c r="G218" s="104"/>
      <c r="H218" s="104"/>
      <c r="I218" s="104"/>
      <c r="J218" s="104"/>
      <c r="K218" s="104"/>
    </row>
    <row r="219" spans="1:11" ht="15.95" customHeight="1" x14ac:dyDescent="0.2">
      <c r="A219" s="99">
        <v>46082</v>
      </c>
      <c r="B219" s="100">
        <v>0.3125</v>
      </c>
      <c r="C219" s="107">
        <f>(B220-B219)/TIME(7,0,0)</f>
        <v>1.0000000000000009</v>
      </c>
      <c r="D219" s="101" t="s">
        <v>757</v>
      </c>
      <c r="E219" s="102" t="s">
        <v>746</v>
      </c>
      <c r="F219" s="103"/>
      <c r="G219" s="104"/>
      <c r="H219" s="104"/>
      <c r="I219" s="104"/>
      <c r="J219" s="104"/>
      <c r="K219" s="104"/>
    </row>
    <row r="220" spans="1:11" ht="15.95" customHeight="1" x14ac:dyDescent="0.2">
      <c r="A220" s="99">
        <v>46082</v>
      </c>
      <c r="B220" s="100">
        <v>0.60416666666666696</v>
      </c>
      <c r="D220" s="101" t="s">
        <v>757</v>
      </c>
      <c r="E220" s="102" t="s">
        <v>746</v>
      </c>
      <c r="F220" s="103"/>
      <c r="G220" s="104"/>
      <c r="H220" s="104"/>
      <c r="I220" s="104"/>
      <c r="J220" s="104"/>
      <c r="K220" s="104"/>
    </row>
    <row r="221" spans="1:11" ht="15.95" customHeight="1" x14ac:dyDescent="0.2">
      <c r="A221" s="99">
        <v>46082</v>
      </c>
      <c r="B221" s="100">
        <v>0.20833333333333301</v>
      </c>
      <c r="C221" s="108"/>
      <c r="D221" s="101" t="s">
        <v>322</v>
      </c>
      <c r="E221" s="102" t="s">
        <v>633</v>
      </c>
      <c r="F221" s="103" t="s">
        <v>322</v>
      </c>
      <c r="G221" s="104"/>
      <c r="H221" s="104"/>
      <c r="I221" s="104"/>
      <c r="J221" s="104"/>
      <c r="K221" s="104"/>
    </row>
    <row r="222" spans="1:11" ht="15.95" customHeight="1" x14ac:dyDescent="0.2">
      <c r="A222" s="99">
        <v>46081</v>
      </c>
      <c r="B222" s="100">
        <v>0.91666666666666663</v>
      </c>
      <c r="C222" s="108">
        <f>IF(B221&lt;B222,B221+1-B222,B221-B222)/TIME(7,0,0)</f>
        <v>0.999999999999999</v>
      </c>
      <c r="D222" s="101" t="s">
        <v>322</v>
      </c>
      <c r="E222" s="102" t="s">
        <v>633</v>
      </c>
      <c r="F222" s="103" t="s">
        <v>322</v>
      </c>
      <c r="G222" s="104"/>
      <c r="H222" s="104"/>
      <c r="I222" s="104"/>
      <c r="J222" s="104"/>
      <c r="K222" s="104"/>
    </row>
    <row r="223" spans="1:11" ht="15.95" customHeight="1" x14ac:dyDescent="0.2">
      <c r="A223" s="99">
        <v>46082</v>
      </c>
      <c r="B223" s="100">
        <v>0.3125</v>
      </c>
      <c r="C223" s="107">
        <f>(B224-B223)/TIME(7,0,0)</f>
        <v>1.0000000000000009</v>
      </c>
      <c r="D223" s="101" t="s">
        <v>267</v>
      </c>
      <c r="E223" s="102" t="s">
        <v>577</v>
      </c>
      <c r="F223" s="103" t="s">
        <v>39</v>
      </c>
      <c r="G223" s="104"/>
      <c r="H223" s="104"/>
      <c r="I223" s="104"/>
      <c r="J223" s="104"/>
      <c r="K223" s="104"/>
    </row>
    <row r="224" spans="1:11" ht="15.95" customHeight="1" x14ac:dyDescent="0.2">
      <c r="A224" s="99">
        <v>46082</v>
      </c>
      <c r="B224" s="100">
        <v>0.60416666666666696</v>
      </c>
      <c r="D224" s="101" t="s">
        <v>267</v>
      </c>
      <c r="E224" s="102" t="s">
        <v>577</v>
      </c>
      <c r="F224" s="103" t="s">
        <v>39</v>
      </c>
      <c r="G224" s="104"/>
      <c r="H224" s="104"/>
      <c r="I224" s="104"/>
      <c r="J224" s="104"/>
      <c r="K224" s="104"/>
    </row>
    <row r="225" spans="1:11" ht="15.95" customHeight="1" x14ac:dyDescent="0.2">
      <c r="A225" s="99">
        <v>46082</v>
      </c>
      <c r="B225" s="100">
        <v>0.40347222222222223</v>
      </c>
      <c r="D225" s="101" t="s">
        <v>15</v>
      </c>
      <c r="E225" s="102" t="s">
        <v>338</v>
      </c>
      <c r="F225" s="103" t="s">
        <v>687</v>
      </c>
      <c r="G225" s="104"/>
      <c r="H225" s="104"/>
      <c r="I225" s="104"/>
      <c r="J225" s="104"/>
      <c r="K225" s="104"/>
    </row>
    <row r="226" spans="1:11" ht="15.95" customHeight="1" x14ac:dyDescent="0.2">
      <c r="A226" s="99">
        <v>46082</v>
      </c>
      <c r="B226" s="100">
        <v>0.7319444444444444</v>
      </c>
      <c r="D226" s="101" t="s">
        <v>15</v>
      </c>
      <c r="E226" s="102" t="s">
        <v>338</v>
      </c>
      <c r="F226" s="103" t="s">
        <v>687</v>
      </c>
      <c r="G226" s="104"/>
      <c r="H226" s="104"/>
      <c r="I226" s="104"/>
      <c r="J226" s="104"/>
      <c r="K226" s="104"/>
    </row>
    <row r="227" spans="1:11" ht="15.95" customHeight="1" x14ac:dyDescent="0.2">
      <c r="A227" s="99">
        <v>46082</v>
      </c>
      <c r="B227" s="100">
        <v>0.20833333333333334</v>
      </c>
      <c r="C227" s="108"/>
      <c r="D227" s="101" t="s">
        <v>15</v>
      </c>
      <c r="E227" s="102" t="s">
        <v>338</v>
      </c>
      <c r="F227" s="103" t="s">
        <v>15</v>
      </c>
      <c r="G227" s="104"/>
      <c r="H227" s="104"/>
      <c r="I227" s="104"/>
      <c r="J227" s="104"/>
      <c r="K227" s="104"/>
    </row>
    <row r="228" spans="1:11" ht="15.95" customHeight="1" x14ac:dyDescent="0.2">
      <c r="A228" s="99">
        <v>46081</v>
      </c>
      <c r="B228" s="100">
        <v>0.92847222222222225</v>
      </c>
      <c r="C228" s="108">
        <v>0.95</v>
      </c>
      <c r="D228" s="101" t="s">
        <v>15</v>
      </c>
      <c r="E228" s="102" t="s">
        <v>338</v>
      </c>
      <c r="F228" s="103" t="s">
        <v>15</v>
      </c>
      <c r="G228" s="104"/>
      <c r="H228" s="104"/>
      <c r="I228" s="104"/>
      <c r="J228" s="104"/>
      <c r="K228" s="104"/>
    </row>
    <row r="229" spans="1:11" ht="15.95" customHeight="1" x14ac:dyDescent="0.2">
      <c r="A229" s="99">
        <v>46082</v>
      </c>
      <c r="B229" s="100">
        <v>0.43611111111111112</v>
      </c>
      <c r="C229" s="107">
        <v>0.56999999999999995</v>
      </c>
      <c r="D229" s="101" t="s">
        <v>147</v>
      </c>
      <c r="E229" s="102" t="s">
        <v>468</v>
      </c>
      <c r="F229" s="103" t="s">
        <v>782</v>
      </c>
      <c r="G229" s="104"/>
      <c r="H229" s="104"/>
      <c r="I229" s="104"/>
      <c r="J229" s="104"/>
      <c r="K229" s="104"/>
    </row>
    <row r="230" spans="1:11" ht="15.95" customHeight="1" x14ac:dyDescent="0.2">
      <c r="A230" s="99">
        <v>46082</v>
      </c>
      <c r="B230" s="100">
        <v>0.60416666666666696</v>
      </c>
      <c r="D230" s="101" t="s">
        <v>147</v>
      </c>
      <c r="E230" s="102" t="s">
        <v>468</v>
      </c>
      <c r="F230" s="103" t="s">
        <v>782</v>
      </c>
      <c r="G230" s="104"/>
      <c r="H230" s="104"/>
      <c r="I230" s="104"/>
      <c r="J230" s="104"/>
      <c r="K230" s="104"/>
    </row>
    <row r="231" spans="1:11" ht="15.95" customHeight="1" x14ac:dyDescent="0.2">
      <c r="A231" s="99">
        <v>46082</v>
      </c>
      <c r="B231" s="100">
        <v>0.3125</v>
      </c>
      <c r="C231" s="107">
        <f>(B232-B231)/TIME(7,0,0)</f>
        <v>1.0000000000000009</v>
      </c>
      <c r="D231" s="101" t="s">
        <v>151</v>
      </c>
      <c r="E231" s="102" t="s">
        <v>470</v>
      </c>
      <c r="F231" s="103" t="s">
        <v>668</v>
      </c>
      <c r="G231" s="104"/>
      <c r="H231" s="104"/>
      <c r="I231" s="104"/>
      <c r="J231" s="104"/>
      <c r="K231" s="104"/>
    </row>
    <row r="232" spans="1:11" ht="15.95" customHeight="1" x14ac:dyDescent="0.2">
      <c r="A232" s="99">
        <v>46082</v>
      </c>
      <c r="B232" s="100">
        <v>0.60416666666666696</v>
      </c>
      <c r="D232" s="101" t="s">
        <v>151</v>
      </c>
      <c r="E232" s="102" t="s">
        <v>470</v>
      </c>
      <c r="F232" s="103" t="s">
        <v>668</v>
      </c>
      <c r="G232" s="104"/>
      <c r="H232" s="104"/>
      <c r="I232" s="104"/>
      <c r="J232" s="104"/>
      <c r="K232" s="104"/>
    </row>
    <row r="233" spans="1:11" ht="15.95" customHeight="1" x14ac:dyDescent="0.2">
      <c r="A233" s="99">
        <v>46082</v>
      </c>
      <c r="B233" s="100">
        <v>0.3125</v>
      </c>
      <c r="C233" s="107">
        <f>(B234-B233)/TIME(7,0,0)</f>
        <v>1.0000000000000009</v>
      </c>
      <c r="D233" s="101" t="s">
        <v>18</v>
      </c>
      <c r="E233" s="102" t="s">
        <v>341</v>
      </c>
      <c r="F233" s="103" t="s">
        <v>674</v>
      </c>
      <c r="G233" s="104"/>
      <c r="H233" s="104"/>
      <c r="I233" s="104"/>
      <c r="J233" s="104"/>
      <c r="K233" s="104"/>
    </row>
    <row r="234" spans="1:11" ht="15.95" customHeight="1" x14ac:dyDescent="0.2">
      <c r="A234" s="99">
        <v>46082</v>
      </c>
      <c r="B234" s="100">
        <v>0.60416666666666696</v>
      </c>
      <c r="D234" s="101" t="s">
        <v>18</v>
      </c>
      <c r="E234" s="102" t="s">
        <v>341</v>
      </c>
      <c r="F234" s="103" t="s">
        <v>674</v>
      </c>
      <c r="G234" s="104"/>
      <c r="H234" s="104"/>
      <c r="I234" s="104"/>
      <c r="J234" s="104"/>
      <c r="K234" s="104"/>
    </row>
    <row r="235" spans="1:11" ht="15.95" customHeight="1" x14ac:dyDescent="0.2">
      <c r="A235" s="99">
        <v>46082</v>
      </c>
      <c r="B235" s="100">
        <v>0.3125</v>
      </c>
      <c r="C235" s="107">
        <f>(B236-B235)/TIME(7,0,0)</f>
        <v>1.0000000000000009</v>
      </c>
      <c r="D235" s="101" t="s">
        <v>758</v>
      </c>
      <c r="E235" s="102" t="s">
        <v>638</v>
      </c>
      <c r="F235" s="103"/>
      <c r="G235" s="104"/>
      <c r="H235" s="104"/>
      <c r="I235" s="104"/>
      <c r="J235" s="104"/>
      <c r="K235" s="104"/>
    </row>
    <row r="236" spans="1:11" ht="15.95" customHeight="1" x14ac:dyDescent="0.2">
      <c r="A236" s="99">
        <v>46082</v>
      </c>
      <c r="B236" s="100">
        <v>0.60416666666666696</v>
      </c>
      <c r="D236" s="101" t="s">
        <v>758</v>
      </c>
      <c r="E236" s="102" t="s">
        <v>638</v>
      </c>
      <c r="F236" s="103"/>
      <c r="G236" s="104"/>
      <c r="H236" s="104"/>
      <c r="I236" s="104"/>
      <c r="J236" s="104"/>
      <c r="K236" s="104"/>
    </row>
    <row r="237" spans="1:11" ht="15.95" customHeight="1" x14ac:dyDescent="0.2">
      <c r="A237" s="99">
        <v>46082</v>
      </c>
      <c r="B237" s="100">
        <v>0.3125</v>
      </c>
      <c r="C237" s="107">
        <f>(B238-B237)/TIME(7,0,0)</f>
        <v>1.0000000000000009</v>
      </c>
      <c r="D237" s="101" t="s">
        <v>84</v>
      </c>
      <c r="E237" s="102" t="s">
        <v>406</v>
      </c>
      <c r="F237" s="103" t="s">
        <v>778</v>
      </c>
      <c r="G237" s="104"/>
      <c r="H237" s="104"/>
      <c r="I237" s="104"/>
      <c r="J237" s="104"/>
      <c r="K237" s="104"/>
    </row>
    <row r="238" spans="1:11" ht="15.95" customHeight="1" x14ac:dyDescent="0.2">
      <c r="A238" s="99">
        <v>46082</v>
      </c>
      <c r="B238" s="100">
        <v>0.60416666666666696</v>
      </c>
      <c r="D238" s="101" t="s">
        <v>84</v>
      </c>
      <c r="E238" s="102" t="s">
        <v>406</v>
      </c>
      <c r="F238" s="103" t="s">
        <v>778</v>
      </c>
      <c r="G238" s="104"/>
      <c r="H238" s="104"/>
      <c r="I238" s="104"/>
      <c r="J238" s="104"/>
      <c r="K238" s="104"/>
    </row>
    <row r="239" spans="1:11" ht="15.95" customHeight="1" x14ac:dyDescent="0.2">
      <c r="A239" s="99">
        <v>46082</v>
      </c>
      <c r="B239" s="100">
        <v>0.3125</v>
      </c>
      <c r="C239" s="107">
        <f>(B240-B239)/TIME(7,0,0)</f>
        <v>1.0000000000000009</v>
      </c>
      <c r="D239" s="101" t="s">
        <v>95</v>
      </c>
      <c r="E239" s="102" t="s">
        <v>420</v>
      </c>
      <c r="F239" s="103" t="s">
        <v>674</v>
      </c>
      <c r="G239" s="104"/>
      <c r="H239" s="104"/>
      <c r="I239" s="104"/>
      <c r="J239" s="104"/>
      <c r="K239" s="104"/>
    </row>
    <row r="240" spans="1:11" ht="15.95" customHeight="1" x14ac:dyDescent="0.2">
      <c r="A240" s="99">
        <v>46082</v>
      </c>
      <c r="B240" s="100">
        <v>0.60416666666666696</v>
      </c>
      <c r="D240" s="101" t="s">
        <v>95</v>
      </c>
      <c r="E240" s="102" t="s">
        <v>420</v>
      </c>
      <c r="F240" s="103" t="s">
        <v>674</v>
      </c>
      <c r="G240" s="104"/>
      <c r="H240" s="104"/>
      <c r="I240" s="104"/>
      <c r="J240" s="104"/>
      <c r="K240" s="104"/>
    </row>
    <row r="241" spans="1:11" ht="15.95" customHeight="1" x14ac:dyDescent="0.2">
      <c r="A241" s="99">
        <v>46082</v>
      </c>
      <c r="B241" s="100">
        <v>0.20833333333333301</v>
      </c>
      <c r="C241" s="108"/>
      <c r="D241" s="101" t="s">
        <v>295</v>
      </c>
      <c r="E241" s="102" t="s">
        <v>604</v>
      </c>
      <c r="F241" s="103" t="s">
        <v>295</v>
      </c>
      <c r="G241" s="104"/>
      <c r="H241" s="104"/>
      <c r="I241" s="104"/>
      <c r="J241" s="104"/>
      <c r="K241" s="104"/>
    </row>
    <row r="242" spans="1:11" ht="15.95" customHeight="1" x14ac:dyDescent="0.2">
      <c r="A242" s="99">
        <v>46081</v>
      </c>
      <c r="B242" s="100">
        <v>0.91666666666666663</v>
      </c>
      <c r="C242" s="108">
        <f>IF(B241&lt;B242,B241+1-B242,B241-B242)/TIME(7,0,0)</f>
        <v>0.999999999999999</v>
      </c>
      <c r="D242" s="101" t="s">
        <v>295</v>
      </c>
      <c r="E242" s="102" t="s">
        <v>604</v>
      </c>
      <c r="F242" s="103" t="s">
        <v>295</v>
      </c>
      <c r="G242" s="104"/>
      <c r="H242" s="104"/>
      <c r="I242" s="104"/>
      <c r="J242" s="104"/>
      <c r="K242" s="104"/>
    </row>
    <row r="243" spans="1:11" ht="15.95" customHeight="1" x14ac:dyDescent="0.2">
      <c r="A243" s="99">
        <v>46082</v>
      </c>
      <c r="B243" s="100">
        <v>0.20833333333333301</v>
      </c>
      <c r="D243" s="101" t="s">
        <v>319</v>
      </c>
      <c r="E243" s="102" t="s">
        <v>630</v>
      </c>
      <c r="F243" s="103" t="s">
        <v>319</v>
      </c>
      <c r="G243" s="104"/>
      <c r="H243" s="104"/>
      <c r="I243" s="104"/>
      <c r="J243" s="104"/>
      <c r="K243" s="104"/>
    </row>
    <row r="244" spans="1:11" ht="15.95" customHeight="1" x14ac:dyDescent="0.2">
      <c r="A244" s="99">
        <v>46081</v>
      </c>
      <c r="B244" s="100">
        <v>0.91666666666666663</v>
      </c>
      <c r="C244" s="108">
        <f>IF(B243&lt;B244,B243+1-B244,B243-B244)/TIME(7,0,0)</f>
        <v>0.999999999999999</v>
      </c>
      <c r="D244" s="101" t="s">
        <v>319</v>
      </c>
      <c r="E244" s="102" t="s">
        <v>630</v>
      </c>
      <c r="F244" s="103" t="s">
        <v>319</v>
      </c>
      <c r="G244" s="104"/>
      <c r="H244" s="104"/>
      <c r="I244" s="104"/>
      <c r="J244" s="104"/>
      <c r="K244" s="104"/>
    </row>
    <row r="245" spans="1:11" ht="15.95" customHeight="1" x14ac:dyDescent="0.2">
      <c r="A245" s="99">
        <v>46082</v>
      </c>
      <c r="B245" s="100">
        <v>0.3125</v>
      </c>
      <c r="C245" s="107">
        <f>(B246-B245)/TIME(7,0,0)</f>
        <v>1.0000000000000009</v>
      </c>
      <c r="D245" s="101" t="s">
        <v>276</v>
      </c>
      <c r="E245" s="102" t="s">
        <v>584</v>
      </c>
      <c r="F245" s="103" t="s">
        <v>155</v>
      </c>
      <c r="G245" s="104"/>
      <c r="H245" s="104"/>
      <c r="I245" s="104"/>
      <c r="J245" s="104"/>
      <c r="K245" s="104"/>
    </row>
    <row r="246" spans="1:11" ht="15.95" customHeight="1" x14ac:dyDescent="0.2">
      <c r="A246" s="99">
        <v>46082</v>
      </c>
      <c r="B246" s="100">
        <v>0.60416666666666696</v>
      </c>
      <c r="D246" s="101" t="s">
        <v>276</v>
      </c>
      <c r="E246" s="102" t="s">
        <v>584</v>
      </c>
      <c r="F246" s="103" t="s">
        <v>155</v>
      </c>
      <c r="G246" s="104"/>
      <c r="H246" s="104"/>
      <c r="I246" s="104"/>
      <c r="J246" s="104"/>
      <c r="K246" s="104"/>
    </row>
    <row r="247" spans="1:11" ht="15.95" customHeight="1" x14ac:dyDescent="0.2">
      <c r="A247" s="99">
        <v>46082</v>
      </c>
      <c r="B247" s="100">
        <v>0.3125</v>
      </c>
      <c r="C247" s="107">
        <f>(B248-B247)/TIME(7,0,0)</f>
        <v>1.0000000000000009</v>
      </c>
      <c r="D247" s="101" t="s">
        <v>191</v>
      </c>
      <c r="E247" s="102" t="s">
        <v>509</v>
      </c>
      <c r="F247" s="103" t="s">
        <v>180</v>
      </c>
      <c r="G247" s="104"/>
      <c r="H247" s="104"/>
      <c r="I247" s="104"/>
      <c r="J247" s="104"/>
      <c r="K247" s="104"/>
    </row>
    <row r="248" spans="1:11" ht="15.95" customHeight="1" x14ac:dyDescent="0.2">
      <c r="A248" s="99">
        <v>46082</v>
      </c>
      <c r="B248" s="100">
        <v>0.60416666666666696</v>
      </c>
      <c r="D248" s="101" t="s">
        <v>191</v>
      </c>
      <c r="E248" s="102" t="s">
        <v>509</v>
      </c>
      <c r="F248" s="103" t="s">
        <v>180</v>
      </c>
      <c r="G248" s="104"/>
      <c r="H248" s="104"/>
      <c r="I248" s="104"/>
      <c r="J248" s="104"/>
      <c r="K248" s="104"/>
    </row>
    <row r="249" spans="1:11" ht="15.95" customHeight="1" x14ac:dyDescent="0.2">
      <c r="A249" s="99">
        <v>46082</v>
      </c>
      <c r="B249" s="100">
        <v>0.3125</v>
      </c>
      <c r="C249" s="107">
        <f>(B250-B249)/TIME(7,0,0)</f>
        <v>1.0000000000000009</v>
      </c>
      <c r="D249" s="101" t="s">
        <v>186</v>
      </c>
      <c r="E249" s="102" t="s">
        <v>504</v>
      </c>
      <c r="F249" s="103" t="s">
        <v>668</v>
      </c>
      <c r="G249" s="104"/>
      <c r="H249" s="104"/>
      <c r="I249" s="104"/>
      <c r="J249" s="104"/>
      <c r="K249" s="104"/>
    </row>
    <row r="250" spans="1:11" ht="15.95" customHeight="1" x14ac:dyDescent="0.2">
      <c r="A250" s="99">
        <v>46082</v>
      </c>
      <c r="B250" s="100">
        <v>0.60416666666666696</v>
      </c>
      <c r="D250" s="101" t="s">
        <v>186</v>
      </c>
      <c r="E250" s="102" t="s">
        <v>504</v>
      </c>
      <c r="F250" s="103" t="s">
        <v>668</v>
      </c>
      <c r="G250" s="104"/>
      <c r="H250" s="104"/>
      <c r="I250" s="104"/>
      <c r="J250" s="104"/>
      <c r="K250" s="104"/>
    </row>
    <row r="251" spans="1:11" ht="15.95" customHeight="1" x14ac:dyDescent="0.2">
      <c r="A251" s="99">
        <v>46082</v>
      </c>
      <c r="B251" s="100">
        <v>0.38263888888888886</v>
      </c>
      <c r="D251" s="101" t="s">
        <v>35</v>
      </c>
      <c r="E251" s="102" t="s">
        <v>358</v>
      </c>
      <c r="F251" s="103" t="s">
        <v>771</v>
      </c>
      <c r="G251" s="104"/>
      <c r="H251" s="104"/>
      <c r="I251" s="104"/>
      <c r="J251" s="104"/>
      <c r="K251" s="104"/>
    </row>
    <row r="252" spans="1:11" ht="15.95" customHeight="1" x14ac:dyDescent="0.2">
      <c r="A252" s="99">
        <v>46082</v>
      </c>
      <c r="B252" s="100">
        <v>0.86111111111111116</v>
      </c>
      <c r="D252" s="101" t="s">
        <v>35</v>
      </c>
      <c r="E252" s="102" t="s">
        <v>358</v>
      </c>
      <c r="F252" s="103" t="s">
        <v>771</v>
      </c>
      <c r="G252" s="104"/>
      <c r="H252" s="104"/>
      <c r="I252" s="104"/>
      <c r="J252" s="104"/>
      <c r="K252" s="104"/>
    </row>
    <row r="253" spans="1:11" ht="15.95" customHeight="1" x14ac:dyDescent="0.2">
      <c r="A253" s="99">
        <v>46082</v>
      </c>
      <c r="B253" s="100">
        <v>0.3125</v>
      </c>
      <c r="C253" s="107">
        <f>(B254-B253)/TIME(7,0,0)</f>
        <v>1.0000000000000009</v>
      </c>
      <c r="D253" s="101" t="s">
        <v>264</v>
      </c>
      <c r="E253" s="102" t="s">
        <v>574</v>
      </c>
      <c r="F253" s="103" t="s">
        <v>668</v>
      </c>
      <c r="G253" s="104"/>
      <c r="H253" s="104"/>
      <c r="I253" s="104"/>
      <c r="J253" s="104"/>
      <c r="K253" s="104"/>
    </row>
    <row r="254" spans="1:11" ht="15.95" customHeight="1" x14ac:dyDescent="0.2">
      <c r="A254" s="99">
        <v>46082</v>
      </c>
      <c r="B254" s="100">
        <v>0.60416666666666696</v>
      </c>
      <c r="D254" s="101" t="s">
        <v>264</v>
      </c>
      <c r="E254" s="102" t="s">
        <v>574</v>
      </c>
      <c r="F254" s="103" t="s">
        <v>668</v>
      </c>
      <c r="G254" s="104"/>
      <c r="H254" s="104"/>
      <c r="I254" s="104"/>
      <c r="J254" s="104"/>
      <c r="K254" s="104"/>
    </row>
    <row r="255" spans="1:11" ht="15.95" customHeight="1" x14ac:dyDescent="0.2">
      <c r="A255" s="99">
        <v>46082</v>
      </c>
      <c r="B255" s="100">
        <v>0.3125</v>
      </c>
      <c r="C255" s="107">
        <f>(B256-B255)/TIME(7,0,0)</f>
        <v>1.0000000000000009</v>
      </c>
      <c r="D255" s="101" t="s">
        <v>120</v>
      </c>
      <c r="E255" s="102" t="s">
        <v>444</v>
      </c>
      <c r="F255" s="103" t="s">
        <v>668</v>
      </c>
      <c r="G255" s="104"/>
      <c r="H255" s="104"/>
      <c r="I255" s="104"/>
      <c r="J255" s="104"/>
      <c r="K255" s="104"/>
    </row>
    <row r="256" spans="1:11" ht="15.95" customHeight="1" x14ac:dyDescent="0.2">
      <c r="A256" s="99">
        <v>46082</v>
      </c>
      <c r="B256" s="100">
        <v>0.60416666666666696</v>
      </c>
      <c r="D256" s="101" t="s">
        <v>120</v>
      </c>
      <c r="E256" s="102" t="s">
        <v>444</v>
      </c>
      <c r="F256" s="103" t="s">
        <v>668</v>
      </c>
      <c r="G256" s="104"/>
      <c r="H256" s="104"/>
      <c r="I256" s="104"/>
      <c r="J256" s="104"/>
      <c r="K256" s="104"/>
    </row>
    <row r="257" spans="1:11" ht="15.95" customHeight="1" x14ac:dyDescent="0.2">
      <c r="A257" s="99">
        <v>46082</v>
      </c>
      <c r="B257" s="100">
        <v>0.20833333333333301</v>
      </c>
      <c r="C257" s="108"/>
      <c r="D257" s="101" t="s">
        <v>304</v>
      </c>
      <c r="E257" s="102" t="s">
        <v>615</v>
      </c>
      <c r="F257" s="103" t="s">
        <v>304</v>
      </c>
      <c r="G257" s="104"/>
      <c r="H257" s="104"/>
      <c r="I257" s="104"/>
      <c r="J257" s="104"/>
      <c r="K257" s="104"/>
    </row>
    <row r="258" spans="1:11" ht="15.95" customHeight="1" x14ac:dyDescent="0.2">
      <c r="A258" s="99">
        <v>46081</v>
      </c>
      <c r="B258" s="100">
        <v>0.91666666666666663</v>
      </c>
      <c r="C258" s="108">
        <f>IF(B257&lt;B258,B257+1-B258,B257-B258)/TIME(7,0,0)</f>
        <v>0.999999999999999</v>
      </c>
      <c r="D258" s="101" t="s">
        <v>304</v>
      </c>
      <c r="E258" s="102" t="s">
        <v>615</v>
      </c>
      <c r="F258" s="103" t="s">
        <v>304</v>
      </c>
      <c r="G258" s="104"/>
      <c r="H258" s="104"/>
      <c r="I258" s="104"/>
      <c r="J258" s="104"/>
      <c r="K258" s="104"/>
    </row>
    <row r="259" spans="1:11" ht="15.95" customHeight="1" x14ac:dyDescent="0.2">
      <c r="A259" s="99">
        <v>46082</v>
      </c>
      <c r="B259" s="100">
        <v>0.3125</v>
      </c>
      <c r="C259" s="107">
        <f>(B260-B259)/TIME(7,0,0)</f>
        <v>1.0000000000000009</v>
      </c>
      <c r="D259" s="101" t="s">
        <v>740</v>
      </c>
      <c r="E259" s="102" t="s">
        <v>661</v>
      </c>
      <c r="F259" s="103"/>
      <c r="G259" s="104"/>
      <c r="H259" s="104"/>
      <c r="I259" s="104"/>
      <c r="J259" s="104"/>
      <c r="K259" s="104"/>
    </row>
    <row r="260" spans="1:11" ht="15.95" customHeight="1" x14ac:dyDescent="0.2">
      <c r="A260" s="99">
        <v>46082</v>
      </c>
      <c r="B260" s="100">
        <v>0.60416666666666696</v>
      </c>
      <c r="D260" s="101" t="s">
        <v>740</v>
      </c>
      <c r="E260" s="102" t="s">
        <v>661</v>
      </c>
      <c r="F260" s="103"/>
      <c r="G260" s="104"/>
      <c r="H260" s="104"/>
      <c r="I260" s="104"/>
      <c r="J260" s="104"/>
      <c r="K260" s="104"/>
    </row>
    <row r="261" spans="1:11" ht="15.95" customHeight="1" x14ac:dyDescent="0.2">
      <c r="A261" s="99">
        <v>46082</v>
      </c>
      <c r="B261" s="100">
        <v>0.3125</v>
      </c>
      <c r="C261" s="107">
        <f>(B262-B261)/TIME(7,0,0)</f>
        <v>1.0000000000000009</v>
      </c>
      <c r="D261" s="101" t="s">
        <v>693</v>
      </c>
      <c r="E261" s="102" t="s">
        <v>485</v>
      </c>
      <c r="F261" s="103" t="s">
        <v>155</v>
      </c>
      <c r="G261" s="104"/>
      <c r="H261" s="104"/>
      <c r="I261" s="104"/>
      <c r="J261" s="104"/>
      <c r="K261" s="104"/>
    </row>
    <row r="262" spans="1:11" ht="15.95" customHeight="1" x14ac:dyDescent="0.2">
      <c r="A262" s="99">
        <v>46082</v>
      </c>
      <c r="B262" s="100">
        <v>0.60416666666666696</v>
      </c>
      <c r="D262" s="101" t="s">
        <v>693</v>
      </c>
      <c r="E262" s="102" t="s">
        <v>485</v>
      </c>
      <c r="F262" s="103" t="s">
        <v>155</v>
      </c>
      <c r="G262" s="104"/>
      <c r="H262" s="104"/>
      <c r="I262" s="104"/>
      <c r="J262" s="104"/>
      <c r="K262" s="104"/>
    </row>
    <row r="263" spans="1:11" ht="15.95" customHeight="1" x14ac:dyDescent="0.2">
      <c r="A263" s="99">
        <v>46082</v>
      </c>
      <c r="B263" s="100">
        <v>0.3125</v>
      </c>
      <c r="C263" s="107">
        <f>(B264-B263)/TIME(7,0,0)</f>
        <v>1.0000000000000009</v>
      </c>
      <c r="D263" s="101" t="s">
        <v>140</v>
      </c>
      <c r="E263" s="102" t="s">
        <v>461</v>
      </c>
      <c r="F263" s="103" t="s">
        <v>138</v>
      </c>
      <c r="G263" s="104"/>
      <c r="H263" s="104"/>
      <c r="I263" s="104"/>
      <c r="J263" s="104"/>
      <c r="K263" s="104"/>
    </row>
    <row r="264" spans="1:11" ht="15.95" customHeight="1" x14ac:dyDescent="0.2">
      <c r="A264" s="99">
        <v>46082</v>
      </c>
      <c r="B264" s="100">
        <v>0.60416666666666696</v>
      </c>
      <c r="D264" s="101" t="s">
        <v>140</v>
      </c>
      <c r="E264" s="102" t="s">
        <v>461</v>
      </c>
      <c r="F264" s="103" t="s">
        <v>138</v>
      </c>
      <c r="G264" s="104"/>
      <c r="H264" s="104"/>
      <c r="I264" s="104"/>
      <c r="J264" s="104"/>
      <c r="K264" s="104"/>
    </row>
    <row r="265" spans="1:11" ht="15.95" customHeight="1" x14ac:dyDescent="0.2">
      <c r="A265" s="99">
        <v>46082</v>
      </c>
      <c r="B265" s="100">
        <v>0.3125</v>
      </c>
      <c r="C265" s="107">
        <f>(B266-B265)/TIME(7,0,0)</f>
        <v>1.0000000000000009</v>
      </c>
      <c r="D265" s="101" t="s">
        <v>229</v>
      </c>
      <c r="E265" s="102" t="s">
        <v>543</v>
      </c>
      <c r="F265" s="103" t="s">
        <v>155</v>
      </c>
      <c r="G265" s="104"/>
      <c r="H265" s="104"/>
      <c r="I265" s="104"/>
      <c r="J265" s="104"/>
      <c r="K265" s="104"/>
    </row>
    <row r="266" spans="1:11" ht="15.95" customHeight="1" x14ac:dyDescent="0.2">
      <c r="A266" s="99">
        <v>46082</v>
      </c>
      <c r="B266" s="100">
        <v>0.60416666666666696</v>
      </c>
      <c r="D266" s="101" t="s">
        <v>229</v>
      </c>
      <c r="E266" s="102" t="s">
        <v>543</v>
      </c>
      <c r="F266" s="103" t="s">
        <v>155</v>
      </c>
      <c r="G266" s="104"/>
      <c r="H266" s="104"/>
      <c r="I266" s="104"/>
      <c r="J266" s="104"/>
      <c r="K266" s="104"/>
    </row>
    <row r="267" spans="1:11" ht="15.95" customHeight="1" x14ac:dyDescent="0.2">
      <c r="A267" s="99">
        <v>46082</v>
      </c>
      <c r="B267" s="100">
        <v>0.3125</v>
      </c>
      <c r="C267" s="107">
        <f>(B268-B267)/TIME(7,0,0)</f>
        <v>1.0000000000000009</v>
      </c>
      <c r="D267" s="101" t="s">
        <v>92</v>
      </c>
      <c r="E267" s="102" t="s">
        <v>417</v>
      </c>
      <c r="F267" s="103" t="s">
        <v>674</v>
      </c>
      <c r="G267" s="104"/>
      <c r="H267" s="104"/>
      <c r="I267" s="104"/>
      <c r="J267" s="104"/>
      <c r="K267" s="104"/>
    </row>
    <row r="268" spans="1:11" ht="15.95" customHeight="1" x14ac:dyDescent="0.2">
      <c r="A268" s="99">
        <v>46082</v>
      </c>
      <c r="B268" s="100">
        <v>0.60416666666666696</v>
      </c>
      <c r="D268" s="101" t="s">
        <v>92</v>
      </c>
      <c r="E268" s="102" t="s">
        <v>417</v>
      </c>
      <c r="F268" s="103" t="s">
        <v>674</v>
      </c>
      <c r="G268" s="104"/>
      <c r="H268" s="104"/>
      <c r="I268" s="104"/>
      <c r="J268" s="104"/>
      <c r="K268" s="104"/>
    </row>
    <row r="269" spans="1:11" ht="15.95" customHeight="1" x14ac:dyDescent="0.2">
      <c r="A269" s="99">
        <v>46082</v>
      </c>
      <c r="B269" s="100">
        <v>0.3125</v>
      </c>
      <c r="C269" s="107">
        <f>(B270-B269)/TIME(7,0,0)</f>
        <v>1.0000000000000009</v>
      </c>
      <c r="D269" s="101" t="s">
        <v>93</v>
      </c>
      <c r="E269" s="102" t="s">
        <v>418</v>
      </c>
      <c r="F269" s="103" t="s">
        <v>767</v>
      </c>
      <c r="G269" s="104"/>
      <c r="H269" s="104"/>
      <c r="I269" s="104"/>
      <c r="J269" s="104"/>
      <c r="K269" s="104"/>
    </row>
    <row r="270" spans="1:11" ht="15.95" customHeight="1" x14ac:dyDescent="0.2">
      <c r="A270" s="99">
        <v>46082</v>
      </c>
      <c r="B270" s="100">
        <v>0.60416666666666696</v>
      </c>
      <c r="D270" s="101" t="s">
        <v>93</v>
      </c>
      <c r="E270" s="102" t="s">
        <v>418</v>
      </c>
      <c r="F270" s="103" t="s">
        <v>767</v>
      </c>
      <c r="G270" s="104"/>
      <c r="H270" s="104"/>
      <c r="I270" s="104"/>
      <c r="J270" s="104"/>
      <c r="K270" s="104"/>
    </row>
    <row r="271" spans="1:11" ht="15.95" customHeight="1" x14ac:dyDescent="0.2">
      <c r="A271" s="99">
        <v>46082</v>
      </c>
      <c r="B271" s="100">
        <v>0.3125</v>
      </c>
      <c r="C271" s="107">
        <f>(B272-B271)/TIME(7,0,0)</f>
        <v>1.0000000000000009</v>
      </c>
      <c r="D271" s="101" t="s">
        <v>201</v>
      </c>
      <c r="E271" s="102" t="s">
        <v>517</v>
      </c>
      <c r="F271" s="103" t="s">
        <v>199</v>
      </c>
      <c r="G271" s="104"/>
      <c r="H271" s="104"/>
      <c r="I271" s="104"/>
      <c r="J271" s="104"/>
      <c r="K271" s="104"/>
    </row>
    <row r="272" spans="1:11" ht="15.95" customHeight="1" x14ac:dyDescent="0.2">
      <c r="A272" s="99">
        <v>46082</v>
      </c>
      <c r="B272" s="100">
        <v>0.60416666666666696</v>
      </c>
      <c r="D272" s="101" t="s">
        <v>201</v>
      </c>
      <c r="E272" s="102" t="s">
        <v>517</v>
      </c>
      <c r="F272" s="103" t="s">
        <v>199</v>
      </c>
      <c r="G272" s="104"/>
      <c r="H272" s="104"/>
      <c r="I272" s="104"/>
      <c r="J272" s="104"/>
      <c r="K272" s="104"/>
    </row>
    <row r="273" spans="1:11" ht="15.95" customHeight="1" x14ac:dyDescent="0.2">
      <c r="A273" s="99">
        <v>46082</v>
      </c>
      <c r="B273" s="100">
        <v>0.3125</v>
      </c>
      <c r="C273" s="107">
        <f>(B274-B273)/TIME(7,0,0)</f>
        <v>1.0000000000000009</v>
      </c>
      <c r="D273" s="101" t="s">
        <v>190</v>
      </c>
      <c r="E273" s="102" t="s">
        <v>508</v>
      </c>
      <c r="F273" s="103" t="s">
        <v>668</v>
      </c>
      <c r="G273" s="104"/>
      <c r="H273" s="104"/>
      <c r="I273" s="104"/>
      <c r="J273" s="104"/>
      <c r="K273" s="104"/>
    </row>
    <row r="274" spans="1:11" ht="15.95" customHeight="1" x14ac:dyDescent="0.2">
      <c r="A274" s="99">
        <v>46082</v>
      </c>
      <c r="B274" s="100">
        <v>0.60416666666666696</v>
      </c>
      <c r="D274" s="101" t="s">
        <v>190</v>
      </c>
      <c r="E274" s="102" t="s">
        <v>508</v>
      </c>
      <c r="F274" s="103" t="s">
        <v>668</v>
      </c>
      <c r="G274" s="104"/>
      <c r="H274" s="104"/>
      <c r="I274" s="104"/>
      <c r="J274" s="104"/>
      <c r="K274" s="104"/>
    </row>
    <row r="275" spans="1:11" ht="15.95" customHeight="1" x14ac:dyDescent="0.2">
      <c r="A275" s="99">
        <v>46082</v>
      </c>
      <c r="B275" s="100">
        <v>0.3125</v>
      </c>
      <c r="C275" s="107">
        <f>(B276-B275)/TIME(7,0,0)</f>
        <v>1.0000000000000009</v>
      </c>
      <c r="D275" s="101" t="s">
        <v>699</v>
      </c>
      <c r="E275" s="102" t="s">
        <v>540</v>
      </c>
      <c r="F275" s="103" t="s">
        <v>674</v>
      </c>
      <c r="G275" s="104"/>
      <c r="H275" s="104"/>
      <c r="I275" s="104"/>
      <c r="J275" s="104"/>
      <c r="K275" s="104"/>
    </row>
    <row r="276" spans="1:11" ht="15.95" customHeight="1" x14ac:dyDescent="0.2">
      <c r="A276" s="99">
        <v>46082</v>
      </c>
      <c r="B276" s="100">
        <v>0.60416666666666696</v>
      </c>
      <c r="D276" s="101" t="s">
        <v>699</v>
      </c>
      <c r="E276" s="102" t="s">
        <v>540</v>
      </c>
      <c r="F276" s="103" t="s">
        <v>674</v>
      </c>
      <c r="G276" s="104"/>
      <c r="H276" s="104"/>
      <c r="I276" s="104"/>
      <c r="J276" s="104"/>
      <c r="K276" s="104"/>
    </row>
    <row r="277" spans="1:11" ht="15.95" customHeight="1" x14ac:dyDescent="0.2">
      <c r="A277" s="99">
        <v>46082</v>
      </c>
      <c r="B277" s="100">
        <v>0.3125</v>
      </c>
      <c r="C277" s="107">
        <f>(B278-B277)/TIME(7,0,0)</f>
        <v>1.0000000000000009</v>
      </c>
      <c r="D277" s="101" t="s">
        <v>676</v>
      </c>
      <c r="E277" s="102" t="s">
        <v>472</v>
      </c>
      <c r="F277" s="103" t="s">
        <v>668</v>
      </c>
      <c r="G277" s="104"/>
      <c r="H277" s="104"/>
      <c r="I277" s="104"/>
      <c r="J277" s="104"/>
      <c r="K277" s="104"/>
    </row>
    <row r="278" spans="1:11" ht="15.95" customHeight="1" x14ac:dyDescent="0.2">
      <c r="A278" s="99">
        <v>46082</v>
      </c>
      <c r="B278" s="100">
        <v>0.60416666666666696</v>
      </c>
      <c r="D278" s="101" t="s">
        <v>676</v>
      </c>
      <c r="E278" s="102" t="s">
        <v>472</v>
      </c>
      <c r="F278" s="103" t="s">
        <v>668</v>
      </c>
      <c r="G278" s="104"/>
      <c r="H278" s="104"/>
      <c r="I278" s="104"/>
      <c r="J278" s="104"/>
      <c r="K278" s="104"/>
    </row>
    <row r="279" spans="1:11" ht="15.95" customHeight="1" x14ac:dyDescent="0.2">
      <c r="A279" s="99">
        <v>46082</v>
      </c>
      <c r="B279" s="100">
        <v>0.3125</v>
      </c>
      <c r="C279" s="107">
        <f>(B280-B279)/TIME(7,0,0)</f>
        <v>1.0000000000000009</v>
      </c>
      <c r="D279" s="101" t="s">
        <v>690</v>
      </c>
      <c r="E279" s="102" t="s">
        <v>510</v>
      </c>
      <c r="F279" s="103" t="s">
        <v>192</v>
      </c>
      <c r="G279" s="104"/>
      <c r="H279" s="104"/>
      <c r="I279" s="104"/>
      <c r="J279" s="104"/>
      <c r="K279" s="104"/>
    </row>
    <row r="280" spans="1:11" ht="15.95" customHeight="1" x14ac:dyDescent="0.2">
      <c r="A280" s="99">
        <v>46082</v>
      </c>
      <c r="B280" s="100">
        <v>0.60416666666666696</v>
      </c>
      <c r="D280" s="101" t="s">
        <v>690</v>
      </c>
      <c r="E280" s="102" t="s">
        <v>510</v>
      </c>
      <c r="F280" s="103" t="s">
        <v>192</v>
      </c>
      <c r="G280" s="104"/>
      <c r="H280" s="104"/>
      <c r="I280" s="104"/>
      <c r="J280" s="104"/>
      <c r="K280" s="104"/>
    </row>
    <row r="281" spans="1:11" ht="15.95" customHeight="1" x14ac:dyDescent="0.2">
      <c r="A281" s="99">
        <v>46082</v>
      </c>
      <c r="B281" s="100">
        <v>0.3125</v>
      </c>
      <c r="C281" s="107">
        <f>(B282-B281)/TIME(7,0,0)</f>
        <v>1.0000000000000009</v>
      </c>
      <c r="D281" s="101" t="s">
        <v>31</v>
      </c>
      <c r="E281" s="102" t="s">
        <v>354</v>
      </c>
      <c r="F281" s="103" t="s">
        <v>671</v>
      </c>
      <c r="G281" s="104"/>
      <c r="H281" s="104"/>
      <c r="I281" s="104"/>
      <c r="J281" s="104"/>
      <c r="K281" s="104"/>
    </row>
    <row r="282" spans="1:11" ht="15.95" customHeight="1" x14ac:dyDescent="0.2">
      <c r="A282" s="99">
        <v>46082</v>
      </c>
      <c r="B282" s="100">
        <v>0.60416666666666696</v>
      </c>
      <c r="D282" s="101" t="s">
        <v>31</v>
      </c>
      <c r="E282" s="102" t="s">
        <v>354</v>
      </c>
      <c r="F282" s="103" t="s">
        <v>671</v>
      </c>
      <c r="G282" s="104"/>
      <c r="H282" s="104"/>
      <c r="I282" s="104"/>
      <c r="J282" s="104"/>
      <c r="K282" s="104"/>
    </row>
    <row r="283" spans="1:11" ht="15.95" customHeight="1" x14ac:dyDescent="0.2">
      <c r="A283" s="99">
        <v>46082</v>
      </c>
      <c r="B283" s="100">
        <v>0.3125</v>
      </c>
      <c r="C283" s="107">
        <f>(B284-B283)/TIME(7,0,0)</f>
        <v>1.0000000000000009</v>
      </c>
      <c r="D283" s="101" t="s">
        <v>277</v>
      </c>
      <c r="E283" s="102" t="s">
        <v>585</v>
      </c>
      <c r="F283" s="103" t="s">
        <v>275</v>
      </c>
      <c r="G283" s="104"/>
      <c r="H283" s="104"/>
      <c r="I283" s="104"/>
      <c r="J283" s="104"/>
      <c r="K283" s="104"/>
    </row>
    <row r="284" spans="1:11" ht="15.95" customHeight="1" x14ac:dyDescent="0.2">
      <c r="A284" s="99">
        <v>46082</v>
      </c>
      <c r="B284" s="100">
        <v>0.60416666666666696</v>
      </c>
      <c r="D284" s="101" t="s">
        <v>277</v>
      </c>
      <c r="E284" s="102" t="s">
        <v>585</v>
      </c>
      <c r="F284" s="103" t="s">
        <v>275</v>
      </c>
      <c r="G284" s="104"/>
      <c r="H284" s="104"/>
      <c r="I284" s="104"/>
      <c r="J284" s="104"/>
      <c r="K284" s="104"/>
    </row>
    <row r="285" spans="1:11" ht="15.95" customHeight="1" x14ac:dyDescent="0.2">
      <c r="A285" s="99">
        <v>46082</v>
      </c>
      <c r="B285" s="100">
        <v>0.3125</v>
      </c>
      <c r="C285" s="107">
        <f>(B286-B285)/TIME(7,0,0)</f>
        <v>1.0000000000000009</v>
      </c>
      <c r="D285" s="101" t="s">
        <v>145</v>
      </c>
      <c r="E285" s="102" t="s">
        <v>466</v>
      </c>
      <c r="F285" s="103" t="s">
        <v>148</v>
      </c>
      <c r="G285" s="104"/>
      <c r="H285" s="104"/>
      <c r="I285" s="104"/>
      <c r="J285" s="104"/>
      <c r="K285" s="104"/>
    </row>
    <row r="286" spans="1:11" ht="15.95" customHeight="1" x14ac:dyDescent="0.2">
      <c r="A286" s="99">
        <v>46082</v>
      </c>
      <c r="B286" s="100">
        <v>0.60416666666666696</v>
      </c>
      <c r="D286" s="101" t="s">
        <v>145</v>
      </c>
      <c r="E286" s="102" t="s">
        <v>466</v>
      </c>
      <c r="F286" s="103" t="s">
        <v>148</v>
      </c>
      <c r="G286" s="104"/>
      <c r="H286" s="104"/>
      <c r="I286" s="104"/>
      <c r="J286" s="104"/>
      <c r="K286" s="104"/>
    </row>
    <row r="287" spans="1:11" ht="15.95" customHeight="1" x14ac:dyDescent="0.2">
      <c r="A287" s="99">
        <v>46082</v>
      </c>
      <c r="B287" s="100">
        <v>0.3125</v>
      </c>
      <c r="C287" s="107">
        <f>(B288-B287)/TIME(7,0,0)</f>
        <v>1.0000000000000009</v>
      </c>
      <c r="D287" s="101" t="s">
        <v>289</v>
      </c>
      <c r="E287" s="102" t="s">
        <v>598</v>
      </c>
      <c r="F287" s="103" t="s">
        <v>668</v>
      </c>
      <c r="G287" s="104"/>
      <c r="H287" s="104"/>
      <c r="I287" s="104"/>
      <c r="J287" s="104"/>
      <c r="K287" s="104"/>
    </row>
    <row r="288" spans="1:11" ht="15.95" customHeight="1" x14ac:dyDescent="0.2">
      <c r="A288" s="99">
        <v>46082</v>
      </c>
      <c r="B288" s="100">
        <v>0.60416666666666696</v>
      </c>
      <c r="D288" s="101" t="s">
        <v>289</v>
      </c>
      <c r="E288" s="102" t="s">
        <v>598</v>
      </c>
      <c r="F288" s="103" t="s">
        <v>668</v>
      </c>
      <c r="G288" s="104"/>
      <c r="H288" s="104"/>
      <c r="I288" s="104"/>
      <c r="J288" s="104"/>
      <c r="K288" s="104"/>
    </row>
    <row r="289" spans="1:11" ht="15.95" customHeight="1" x14ac:dyDescent="0.2">
      <c r="A289" s="99">
        <v>46082</v>
      </c>
      <c r="B289" s="100">
        <v>0.7</v>
      </c>
      <c r="C289" s="107">
        <v>1.5</v>
      </c>
      <c r="D289" s="101" t="s">
        <v>701</v>
      </c>
      <c r="E289" s="102" t="s">
        <v>347</v>
      </c>
      <c r="F289" s="103" t="s">
        <v>768</v>
      </c>
      <c r="G289" s="104"/>
      <c r="H289" s="104"/>
      <c r="I289" s="104"/>
      <c r="J289" s="104"/>
      <c r="K289" s="104"/>
    </row>
    <row r="290" spans="1:11" ht="15.95" customHeight="1" x14ac:dyDescent="0.2">
      <c r="A290" s="99">
        <v>46082</v>
      </c>
      <c r="B290" s="100">
        <v>0.3125</v>
      </c>
      <c r="C290" s="107">
        <f>(B291-B290)/TIME(7,0,0)</f>
        <v>1.0000000000000009</v>
      </c>
      <c r="D290" s="101" t="s">
        <v>170</v>
      </c>
      <c r="E290" s="102" t="s">
        <v>487</v>
      </c>
      <c r="F290" s="103" t="s">
        <v>765</v>
      </c>
      <c r="G290" s="104"/>
      <c r="H290" s="104"/>
      <c r="I290" s="104"/>
      <c r="J290" s="104"/>
      <c r="K290" s="104"/>
    </row>
    <row r="291" spans="1:11" ht="15.95" customHeight="1" x14ac:dyDescent="0.2">
      <c r="A291" s="99">
        <v>46082</v>
      </c>
      <c r="B291" s="100">
        <v>0.60416666666666696</v>
      </c>
      <c r="D291" s="101" t="s">
        <v>170</v>
      </c>
      <c r="E291" s="102" t="s">
        <v>487</v>
      </c>
      <c r="F291" s="103" t="s">
        <v>765</v>
      </c>
      <c r="G291" s="104"/>
      <c r="H291" s="104"/>
      <c r="I291" s="104"/>
      <c r="J291" s="104"/>
      <c r="K291" s="104"/>
    </row>
    <row r="292" spans="1:11" ht="15.95" customHeight="1" x14ac:dyDescent="0.2">
      <c r="A292" s="99">
        <v>46082</v>
      </c>
      <c r="B292" s="100">
        <v>0.3125</v>
      </c>
      <c r="C292" s="107">
        <f>(B293-B292)/TIME(7,0,0)</f>
        <v>1.0000000000000009</v>
      </c>
      <c r="D292" s="101" t="s">
        <v>217</v>
      </c>
      <c r="E292" s="102" t="s">
        <v>532</v>
      </c>
      <c r="F292" s="103" t="s">
        <v>777</v>
      </c>
      <c r="G292" s="104"/>
      <c r="H292" s="104"/>
      <c r="I292" s="104"/>
      <c r="J292" s="104"/>
      <c r="K292" s="104"/>
    </row>
    <row r="293" spans="1:11" ht="15.95" customHeight="1" x14ac:dyDescent="0.2">
      <c r="A293" s="99">
        <v>46082</v>
      </c>
      <c r="B293" s="100">
        <v>0.60416666666666696</v>
      </c>
      <c r="D293" s="101" t="s">
        <v>217</v>
      </c>
      <c r="E293" s="102" t="s">
        <v>532</v>
      </c>
      <c r="F293" s="103" t="s">
        <v>777</v>
      </c>
      <c r="G293" s="104"/>
      <c r="H293" s="104"/>
      <c r="I293" s="104"/>
      <c r="J293" s="104"/>
      <c r="K293" s="104"/>
    </row>
    <row r="294" spans="1:11" ht="15.95" customHeight="1" x14ac:dyDescent="0.2">
      <c r="A294" s="99">
        <v>46082</v>
      </c>
      <c r="B294" s="100">
        <v>0.3125</v>
      </c>
      <c r="C294" s="107">
        <f>(B295-B294)/TIME(7,0,0)</f>
        <v>1.0000000000000009</v>
      </c>
      <c r="D294" s="101" t="s">
        <v>85</v>
      </c>
      <c r="E294" s="102" t="s">
        <v>407</v>
      </c>
      <c r="F294" s="103" t="s">
        <v>674</v>
      </c>
      <c r="G294" s="104"/>
      <c r="H294" s="104"/>
      <c r="I294" s="104"/>
      <c r="J294" s="104"/>
      <c r="K294" s="104"/>
    </row>
    <row r="295" spans="1:11" ht="15.95" customHeight="1" x14ac:dyDescent="0.2">
      <c r="A295" s="99">
        <v>46082</v>
      </c>
      <c r="B295" s="100">
        <v>0.60416666666666696</v>
      </c>
      <c r="D295" s="101" t="s">
        <v>85</v>
      </c>
      <c r="E295" s="102" t="s">
        <v>407</v>
      </c>
      <c r="F295" s="103" t="s">
        <v>674</v>
      </c>
      <c r="G295" s="104"/>
      <c r="H295" s="104"/>
      <c r="I295" s="104"/>
      <c r="J295" s="104"/>
      <c r="K295" s="104"/>
    </row>
    <row r="296" spans="1:11" ht="15.95" customHeight="1" x14ac:dyDescent="0.2">
      <c r="A296" s="99">
        <v>46082</v>
      </c>
      <c r="B296" s="100">
        <v>0.3125</v>
      </c>
      <c r="C296" s="107">
        <f>(B297-B296)/TIME(7,0,0)</f>
        <v>1.0000000000000009</v>
      </c>
      <c r="D296" s="101" t="s">
        <v>165</v>
      </c>
      <c r="E296" s="102" t="s">
        <v>483</v>
      </c>
      <c r="F296" s="103" t="s">
        <v>155</v>
      </c>
      <c r="G296" s="104"/>
      <c r="H296" s="104"/>
      <c r="I296" s="104"/>
      <c r="J296" s="104"/>
      <c r="K296" s="104"/>
    </row>
    <row r="297" spans="1:11" ht="15.95" customHeight="1" x14ac:dyDescent="0.2">
      <c r="A297" s="99">
        <v>46082</v>
      </c>
      <c r="B297" s="100">
        <v>0.60416666666666696</v>
      </c>
      <c r="D297" s="101" t="s">
        <v>165</v>
      </c>
      <c r="E297" s="102" t="s">
        <v>483</v>
      </c>
      <c r="F297" s="103" t="s">
        <v>155</v>
      </c>
      <c r="G297" s="104"/>
      <c r="H297" s="104"/>
      <c r="I297" s="104"/>
      <c r="J297" s="104"/>
      <c r="K297" s="104"/>
    </row>
    <row r="298" spans="1:11" ht="15.95" customHeight="1" x14ac:dyDescent="0.2">
      <c r="A298" s="99">
        <v>46082</v>
      </c>
      <c r="B298" s="100">
        <v>0.3125</v>
      </c>
      <c r="C298" s="107">
        <f>(B299-B298)/TIME(7,0,0)</f>
        <v>1.0000000000000009</v>
      </c>
      <c r="D298" s="101" t="s">
        <v>96</v>
      </c>
      <c r="E298" s="102" t="s">
        <v>421</v>
      </c>
      <c r="F298" s="103" t="s">
        <v>68</v>
      </c>
      <c r="G298" s="104"/>
      <c r="H298" s="104"/>
      <c r="I298" s="104"/>
      <c r="J298" s="104"/>
      <c r="K298" s="104"/>
    </row>
    <row r="299" spans="1:11" ht="15.95" customHeight="1" x14ac:dyDescent="0.2">
      <c r="A299" s="99">
        <v>46082</v>
      </c>
      <c r="B299" s="100">
        <v>0.60416666666666696</v>
      </c>
      <c r="D299" s="101" t="s">
        <v>96</v>
      </c>
      <c r="E299" s="102" t="s">
        <v>421</v>
      </c>
      <c r="F299" s="103" t="s">
        <v>68</v>
      </c>
      <c r="G299" s="104"/>
      <c r="H299" s="104"/>
      <c r="I299" s="104"/>
      <c r="J299" s="104"/>
      <c r="K299" s="104"/>
    </row>
    <row r="300" spans="1:11" ht="15.95" customHeight="1" x14ac:dyDescent="0.2">
      <c r="A300" s="99">
        <v>46082</v>
      </c>
      <c r="B300" s="100">
        <v>0.3125</v>
      </c>
      <c r="C300" s="107">
        <f>(B301-B300)/TIME(7,0,0)</f>
        <v>1.0000000000000009</v>
      </c>
      <c r="D300" s="101" t="s">
        <v>154</v>
      </c>
      <c r="E300" s="102" t="s">
        <v>473</v>
      </c>
      <c r="F300" s="103" t="s">
        <v>677</v>
      </c>
      <c r="G300" s="104"/>
      <c r="H300" s="104"/>
      <c r="I300" s="104"/>
      <c r="J300" s="104"/>
      <c r="K300" s="104"/>
    </row>
    <row r="301" spans="1:11" ht="15.95" customHeight="1" x14ac:dyDescent="0.2">
      <c r="A301" s="99">
        <v>46082</v>
      </c>
      <c r="B301" s="100">
        <v>0.60416666666666696</v>
      </c>
      <c r="D301" s="101" t="s">
        <v>154</v>
      </c>
      <c r="E301" s="102" t="s">
        <v>473</v>
      </c>
      <c r="F301" s="103" t="s">
        <v>677</v>
      </c>
      <c r="G301" s="104"/>
      <c r="H301" s="104"/>
      <c r="I301" s="104"/>
      <c r="J301" s="104"/>
      <c r="K301" s="104"/>
    </row>
    <row r="302" spans="1:11" ht="15.95" customHeight="1" x14ac:dyDescent="0.2">
      <c r="A302" s="99">
        <v>46082</v>
      </c>
      <c r="B302" s="100">
        <v>0.3125</v>
      </c>
      <c r="C302" s="107">
        <f>(B303-B302)/TIME(7,0,0)</f>
        <v>1.0000000000000009</v>
      </c>
      <c r="D302" s="101" t="s">
        <v>207</v>
      </c>
      <c r="E302" s="102" t="s">
        <v>523</v>
      </c>
      <c r="F302" s="103" t="s">
        <v>199</v>
      </c>
      <c r="G302" s="104"/>
      <c r="H302" s="104"/>
      <c r="I302" s="104"/>
      <c r="J302" s="104"/>
      <c r="K302" s="104"/>
    </row>
    <row r="303" spans="1:11" ht="15.95" customHeight="1" x14ac:dyDescent="0.2">
      <c r="A303" s="99">
        <v>46082</v>
      </c>
      <c r="B303" s="100">
        <v>0.60416666666666696</v>
      </c>
      <c r="D303" s="101" t="s">
        <v>207</v>
      </c>
      <c r="E303" s="102" t="s">
        <v>523</v>
      </c>
      <c r="F303" s="103" t="s">
        <v>199</v>
      </c>
      <c r="G303" s="104"/>
      <c r="H303" s="104"/>
      <c r="I303" s="104"/>
      <c r="J303" s="104"/>
      <c r="K303" s="104"/>
    </row>
    <row r="304" spans="1:11" ht="15.95" customHeight="1" x14ac:dyDescent="0.2">
      <c r="A304" s="99">
        <v>46082</v>
      </c>
      <c r="B304" s="100">
        <v>0.20833333333333334</v>
      </c>
      <c r="C304" s="108"/>
      <c r="D304" s="101" t="s">
        <v>292</v>
      </c>
      <c r="E304" s="102" t="s">
        <v>601</v>
      </c>
      <c r="F304" s="103" t="s">
        <v>292</v>
      </c>
      <c r="G304" s="104"/>
      <c r="H304" s="104"/>
      <c r="I304" s="104"/>
      <c r="J304" s="104"/>
      <c r="K304" s="104"/>
    </row>
    <row r="305" spans="1:11" ht="15.95" customHeight="1" x14ac:dyDescent="0.2">
      <c r="A305" s="99">
        <v>46081</v>
      </c>
      <c r="B305" s="100">
        <v>0.91666666666666663</v>
      </c>
      <c r="C305" s="108">
        <f>IF(B304&lt;B305,B304+1-B305,B304-B305)/TIME(7,0,0)</f>
        <v>0.99999999999999978</v>
      </c>
      <c r="D305" s="101" t="s">
        <v>292</v>
      </c>
      <c r="E305" s="102" t="s">
        <v>601</v>
      </c>
      <c r="F305" s="103" t="s">
        <v>292</v>
      </c>
      <c r="G305" s="104"/>
      <c r="H305" s="104"/>
      <c r="I305" s="104"/>
      <c r="J305" s="104"/>
      <c r="K305" s="104"/>
    </row>
    <row r="306" spans="1:11" ht="15.95" customHeight="1" x14ac:dyDescent="0.2">
      <c r="A306" s="99">
        <v>46082</v>
      </c>
      <c r="B306" s="100">
        <v>0.3125</v>
      </c>
      <c r="C306" s="107">
        <f>(B307-B306)/TIME(7,0,0)</f>
        <v>1.0000000000000009</v>
      </c>
      <c r="D306" s="101" t="s">
        <v>45</v>
      </c>
      <c r="E306" s="102" t="s">
        <v>367</v>
      </c>
      <c r="F306" s="103" t="s">
        <v>42</v>
      </c>
      <c r="G306" s="104"/>
      <c r="H306" s="104"/>
      <c r="I306" s="104"/>
      <c r="J306" s="104"/>
      <c r="K306" s="104"/>
    </row>
    <row r="307" spans="1:11" ht="15.95" customHeight="1" x14ac:dyDescent="0.2">
      <c r="A307" s="99">
        <v>46082</v>
      </c>
      <c r="B307" s="100">
        <v>0.60416666666666696</v>
      </c>
      <c r="D307" s="101" t="s">
        <v>45</v>
      </c>
      <c r="E307" s="102" t="s">
        <v>367</v>
      </c>
      <c r="F307" s="103" t="s">
        <v>42</v>
      </c>
      <c r="G307" s="104"/>
      <c r="H307" s="104"/>
      <c r="I307" s="104"/>
      <c r="J307" s="104"/>
      <c r="K307" s="104"/>
    </row>
    <row r="308" spans="1:11" ht="15.95" customHeight="1" x14ac:dyDescent="0.2">
      <c r="A308" s="99">
        <v>46082</v>
      </c>
      <c r="B308" s="100">
        <v>0.3125</v>
      </c>
      <c r="C308" s="107">
        <f>(B309-B308)/TIME(7,0,0)</f>
        <v>1.0000000000000009</v>
      </c>
      <c r="D308" s="101" t="s">
        <v>109</v>
      </c>
      <c r="E308" s="102" t="s">
        <v>433</v>
      </c>
      <c r="F308" s="103" t="s">
        <v>101</v>
      </c>
      <c r="G308" s="104"/>
      <c r="H308" s="104"/>
      <c r="I308" s="104"/>
      <c r="J308" s="104"/>
      <c r="K308" s="104"/>
    </row>
    <row r="309" spans="1:11" ht="15.95" customHeight="1" x14ac:dyDescent="0.2">
      <c r="A309" s="99">
        <v>46082</v>
      </c>
      <c r="B309" s="100">
        <v>0.60416666666666696</v>
      </c>
      <c r="D309" s="101" t="s">
        <v>109</v>
      </c>
      <c r="E309" s="102" t="s">
        <v>433</v>
      </c>
      <c r="F309" s="103" t="s">
        <v>101</v>
      </c>
      <c r="G309" s="104"/>
      <c r="H309" s="104"/>
      <c r="I309" s="104"/>
      <c r="J309" s="104"/>
      <c r="K309" s="104"/>
    </row>
    <row r="310" spans="1:11" ht="15.95" customHeight="1" x14ac:dyDescent="0.2">
      <c r="A310" s="99">
        <v>46082</v>
      </c>
      <c r="B310" s="100">
        <v>0.3125</v>
      </c>
      <c r="C310" s="107">
        <f>(B311-B310)/TIME(7,0,0)</f>
        <v>1.0000000000000009</v>
      </c>
      <c r="D310" s="101" t="s">
        <v>128</v>
      </c>
      <c r="E310" s="102" t="s">
        <v>451</v>
      </c>
      <c r="F310" s="103" t="s">
        <v>772</v>
      </c>
      <c r="G310" s="104"/>
      <c r="H310" s="104"/>
      <c r="I310" s="104"/>
      <c r="J310" s="104"/>
      <c r="K310" s="104"/>
    </row>
    <row r="311" spans="1:11" ht="15.95" customHeight="1" x14ac:dyDescent="0.2">
      <c r="A311" s="99">
        <v>46082</v>
      </c>
      <c r="B311" s="100">
        <v>0.60416666666666696</v>
      </c>
      <c r="D311" s="101" t="s">
        <v>128</v>
      </c>
      <c r="E311" s="102" t="s">
        <v>451</v>
      </c>
      <c r="F311" s="103" t="s">
        <v>772</v>
      </c>
      <c r="G311" s="104"/>
      <c r="H311" s="104"/>
      <c r="I311" s="104"/>
      <c r="J311" s="104"/>
      <c r="K311" s="104"/>
    </row>
    <row r="312" spans="1:11" ht="15.95" customHeight="1" x14ac:dyDescent="0.2">
      <c r="A312" s="99">
        <v>46082</v>
      </c>
      <c r="B312" s="100">
        <v>0.20833333333333301</v>
      </c>
      <c r="C312" s="108"/>
      <c r="D312" s="101" t="s">
        <v>324</v>
      </c>
      <c r="E312" s="102" t="s">
        <v>635</v>
      </c>
      <c r="F312" s="103" t="s">
        <v>324</v>
      </c>
      <c r="G312" s="104"/>
      <c r="H312" s="104"/>
      <c r="I312" s="104"/>
      <c r="J312" s="104"/>
      <c r="K312" s="104"/>
    </row>
    <row r="313" spans="1:11" ht="15.95" customHeight="1" x14ac:dyDescent="0.2">
      <c r="A313" s="99">
        <v>46081</v>
      </c>
      <c r="B313" s="100">
        <v>0.91666666666666663</v>
      </c>
      <c r="C313" s="108">
        <f>IF(B312&lt;B313,B312+1-B313,B312-B313)/TIME(7,0,0)</f>
        <v>0.999999999999999</v>
      </c>
      <c r="D313" s="101" t="s">
        <v>324</v>
      </c>
      <c r="E313" s="102" t="s">
        <v>635</v>
      </c>
      <c r="F313" s="103" t="s">
        <v>324</v>
      </c>
      <c r="G313" s="104"/>
      <c r="H313" s="104"/>
      <c r="I313" s="104"/>
      <c r="J313" s="104"/>
      <c r="K313" s="104"/>
    </row>
    <row r="314" spans="1:11" ht="15.95" customHeight="1" x14ac:dyDescent="0.2">
      <c r="A314" s="99">
        <v>46082</v>
      </c>
      <c r="B314" s="100">
        <v>0.20833333333333301</v>
      </c>
      <c r="C314" s="108"/>
      <c r="D314" s="101" t="s">
        <v>312</v>
      </c>
      <c r="E314" s="102" t="s">
        <v>623</v>
      </c>
      <c r="F314" s="103" t="s">
        <v>312</v>
      </c>
      <c r="G314" s="104"/>
      <c r="H314" s="104"/>
      <c r="I314" s="104"/>
      <c r="J314" s="104"/>
      <c r="K314" s="104"/>
    </row>
    <row r="315" spans="1:11" ht="15.95" customHeight="1" x14ac:dyDescent="0.2">
      <c r="A315" s="99">
        <v>46081</v>
      </c>
      <c r="B315" s="100">
        <v>0.91666666666666663</v>
      </c>
      <c r="C315" s="108">
        <f>IF(B314&lt;B315,B314+1-B315,B314-B315)/TIME(7,0,0)</f>
        <v>0.999999999999999</v>
      </c>
      <c r="D315" s="101" t="s">
        <v>312</v>
      </c>
      <c r="E315" s="102" t="s">
        <v>623</v>
      </c>
      <c r="F315" s="103" t="s">
        <v>312</v>
      </c>
      <c r="G315" s="104"/>
      <c r="H315" s="104"/>
      <c r="I315" s="104"/>
      <c r="J315" s="104"/>
      <c r="K315" s="104"/>
    </row>
    <row r="316" spans="1:11" ht="15.95" customHeight="1" x14ac:dyDescent="0.2">
      <c r="A316" s="99">
        <v>46082</v>
      </c>
      <c r="B316" s="100">
        <v>0.31736111111111109</v>
      </c>
      <c r="C316" s="107">
        <v>0.98</v>
      </c>
      <c r="D316" s="101" t="s">
        <v>223</v>
      </c>
      <c r="E316" s="102" t="s">
        <v>538</v>
      </c>
      <c r="F316" s="103" t="s">
        <v>232</v>
      </c>
      <c r="G316" s="104"/>
      <c r="H316" s="104"/>
      <c r="I316" s="104"/>
      <c r="J316" s="104"/>
      <c r="K316" s="104"/>
    </row>
    <row r="317" spans="1:11" ht="15.95" customHeight="1" x14ac:dyDescent="0.2">
      <c r="A317" s="99">
        <v>46082</v>
      </c>
      <c r="B317" s="100">
        <v>0.60416666666666696</v>
      </c>
      <c r="D317" s="101" t="s">
        <v>223</v>
      </c>
      <c r="E317" s="102" t="s">
        <v>538</v>
      </c>
      <c r="F317" s="103" t="s">
        <v>232</v>
      </c>
      <c r="G317" s="104"/>
      <c r="H317" s="104"/>
      <c r="I317" s="104"/>
      <c r="J317" s="104"/>
      <c r="K317" s="104"/>
    </row>
    <row r="318" spans="1:11" ht="15.95" customHeight="1" x14ac:dyDescent="0.2">
      <c r="A318" s="99">
        <v>46082</v>
      </c>
      <c r="B318" s="100">
        <v>0.3125</v>
      </c>
      <c r="C318" s="107">
        <f>(B319-B318)/TIME(7,0,0)</f>
        <v>1.0000000000000009</v>
      </c>
      <c r="D318" s="101" t="s">
        <v>179</v>
      </c>
      <c r="E318" s="102" t="s">
        <v>496</v>
      </c>
      <c r="F318" s="103" t="s">
        <v>169</v>
      </c>
      <c r="G318" s="104"/>
      <c r="H318" s="104"/>
      <c r="I318" s="104"/>
      <c r="J318" s="104"/>
      <c r="K318" s="104"/>
    </row>
    <row r="319" spans="1:11" ht="15.95" customHeight="1" x14ac:dyDescent="0.2">
      <c r="A319" s="99">
        <v>46082</v>
      </c>
      <c r="B319" s="100">
        <v>0.60416666666666696</v>
      </c>
      <c r="D319" s="101" t="s">
        <v>179</v>
      </c>
      <c r="E319" s="102" t="s">
        <v>496</v>
      </c>
      <c r="F319" s="103" t="s">
        <v>169</v>
      </c>
      <c r="G319" s="104"/>
      <c r="H319" s="104"/>
      <c r="I319" s="104"/>
      <c r="J319" s="104"/>
      <c r="K319" s="104"/>
    </row>
    <row r="320" spans="1:11" ht="15.95" customHeight="1" x14ac:dyDescent="0.2">
      <c r="A320" s="99">
        <v>46082</v>
      </c>
      <c r="B320" s="100">
        <v>0.3125</v>
      </c>
      <c r="C320" s="107">
        <f>(B321-B320)/TIME(7,0,0)</f>
        <v>1.0000000000000009</v>
      </c>
      <c r="D320" s="101" t="s">
        <v>302</v>
      </c>
      <c r="E320" s="102" t="s">
        <v>612</v>
      </c>
      <c r="F320" s="103" t="s">
        <v>180</v>
      </c>
      <c r="G320" s="104"/>
      <c r="H320" s="104"/>
      <c r="I320" s="104"/>
      <c r="J320" s="104"/>
      <c r="K320" s="104"/>
    </row>
    <row r="321" spans="1:11" ht="15.95" customHeight="1" x14ac:dyDescent="0.2">
      <c r="A321" s="99">
        <v>46082</v>
      </c>
      <c r="B321" s="100">
        <v>0.60416666666666696</v>
      </c>
      <c r="D321" s="101" t="s">
        <v>302</v>
      </c>
      <c r="E321" s="102" t="s">
        <v>612</v>
      </c>
      <c r="F321" s="103" t="s">
        <v>180</v>
      </c>
      <c r="G321" s="104"/>
      <c r="H321" s="104"/>
      <c r="I321" s="104"/>
      <c r="J321" s="104"/>
      <c r="K321" s="104"/>
    </row>
    <row r="322" spans="1:11" ht="15.95" customHeight="1" x14ac:dyDescent="0.2">
      <c r="A322" s="99">
        <v>46082</v>
      </c>
      <c r="B322" s="100">
        <v>0.3125</v>
      </c>
      <c r="C322" s="107">
        <f>(B323-B322)/TIME(7,0,0)</f>
        <v>1.0000000000000009</v>
      </c>
      <c r="D322" s="101" t="s">
        <v>246</v>
      </c>
      <c r="E322" s="102" t="s">
        <v>559</v>
      </c>
      <c r="F322" s="103" t="s">
        <v>781</v>
      </c>
      <c r="G322" s="104"/>
      <c r="H322" s="104"/>
      <c r="I322" s="104"/>
      <c r="J322" s="104"/>
      <c r="K322" s="104"/>
    </row>
    <row r="323" spans="1:11" ht="15.95" customHeight="1" x14ac:dyDescent="0.2">
      <c r="A323" s="99">
        <v>46082</v>
      </c>
      <c r="B323" s="100">
        <v>0.60416666666666696</v>
      </c>
      <c r="D323" s="101" t="s">
        <v>246</v>
      </c>
      <c r="E323" s="102" t="s">
        <v>559</v>
      </c>
      <c r="F323" s="103" t="s">
        <v>781</v>
      </c>
      <c r="G323" s="104"/>
      <c r="H323" s="104"/>
      <c r="I323" s="104"/>
      <c r="J323" s="104"/>
      <c r="K323" s="104"/>
    </row>
    <row r="324" spans="1:11" ht="15.95" customHeight="1" x14ac:dyDescent="0.2">
      <c r="A324" s="99">
        <v>46082</v>
      </c>
      <c r="B324" s="100">
        <v>0.20833333333333301</v>
      </c>
      <c r="C324" s="108"/>
      <c r="D324" s="101" t="s">
        <v>793</v>
      </c>
      <c r="E324" s="102" t="s">
        <v>618</v>
      </c>
      <c r="F324" s="103" t="s">
        <v>793</v>
      </c>
      <c r="G324" s="104"/>
      <c r="H324" s="104"/>
      <c r="I324" s="104"/>
      <c r="J324" s="104"/>
      <c r="K324" s="104"/>
    </row>
    <row r="325" spans="1:11" ht="15.95" customHeight="1" x14ac:dyDescent="0.2">
      <c r="A325" s="99">
        <v>46081</v>
      </c>
      <c r="B325" s="100">
        <v>0.91666666666666663</v>
      </c>
      <c r="C325" s="108">
        <f>IF(B324&lt;B325,B324+1-B325,B324-B325)/TIME(7,0,0)</f>
        <v>0.999999999999999</v>
      </c>
      <c r="D325" s="101" t="s">
        <v>793</v>
      </c>
      <c r="E325" s="102" t="s">
        <v>618</v>
      </c>
      <c r="F325" s="103" t="s">
        <v>793</v>
      </c>
      <c r="G325" s="104"/>
      <c r="H325" s="104"/>
      <c r="I325" s="104"/>
      <c r="J325" s="104"/>
      <c r="K325" s="104"/>
    </row>
    <row r="326" spans="1:11" ht="15.95" customHeight="1" x14ac:dyDescent="0.2">
      <c r="A326" s="99">
        <v>46082</v>
      </c>
      <c r="B326" s="100">
        <v>0.3125</v>
      </c>
      <c r="C326" s="107">
        <f>(B327-B326)/TIME(7,0,0)</f>
        <v>1.0000000000000009</v>
      </c>
      <c r="D326" s="101" t="s">
        <v>78</v>
      </c>
      <c r="E326" s="102" t="s">
        <v>400</v>
      </c>
      <c r="F326" s="103" t="s">
        <v>668</v>
      </c>
      <c r="G326" s="104"/>
      <c r="H326" s="104"/>
      <c r="I326" s="104"/>
      <c r="J326" s="104"/>
      <c r="K326" s="104"/>
    </row>
    <row r="327" spans="1:11" ht="15.95" customHeight="1" x14ac:dyDescent="0.2">
      <c r="A327" s="99">
        <v>46082</v>
      </c>
      <c r="B327" s="100">
        <v>0.60416666666666696</v>
      </c>
      <c r="D327" s="101" t="s">
        <v>78</v>
      </c>
      <c r="E327" s="102" t="s">
        <v>400</v>
      </c>
      <c r="F327" s="103" t="s">
        <v>668</v>
      </c>
      <c r="G327" s="104"/>
      <c r="H327" s="104"/>
      <c r="I327" s="104"/>
      <c r="J327" s="104"/>
      <c r="K327" s="104"/>
    </row>
    <row r="328" spans="1:11" ht="15.95" customHeight="1" x14ac:dyDescent="0.2">
      <c r="A328" s="99">
        <v>46082</v>
      </c>
      <c r="B328" s="100">
        <v>0.3125</v>
      </c>
      <c r="C328" s="107">
        <f>(B329-B328)/TIME(7,0,0)</f>
        <v>1.0000000000000009</v>
      </c>
      <c r="D328" s="101" t="s">
        <v>696</v>
      </c>
      <c r="E328" s="102" t="s">
        <v>550</v>
      </c>
      <c r="F328" s="103" t="s">
        <v>255</v>
      </c>
      <c r="G328" s="104"/>
      <c r="H328" s="104"/>
      <c r="I328" s="104"/>
      <c r="J328" s="104"/>
      <c r="K328" s="104"/>
    </row>
    <row r="329" spans="1:11" ht="15.95" customHeight="1" x14ac:dyDescent="0.2">
      <c r="A329" s="99">
        <v>46082</v>
      </c>
      <c r="B329" s="100">
        <v>0.60416666666666696</v>
      </c>
      <c r="D329" s="101" t="s">
        <v>696</v>
      </c>
      <c r="E329" s="102" t="s">
        <v>550</v>
      </c>
      <c r="F329" s="103" t="s">
        <v>255</v>
      </c>
      <c r="G329" s="104"/>
      <c r="H329" s="104"/>
      <c r="I329" s="104"/>
      <c r="J329" s="104"/>
      <c r="K329" s="104"/>
    </row>
    <row r="330" spans="1:11" ht="15.95" customHeight="1" x14ac:dyDescent="0.2">
      <c r="A330" s="99">
        <v>46082</v>
      </c>
      <c r="B330" s="100">
        <v>0.20833333333333301</v>
      </c>
      <c r="C330" s="108"/>
      <c r="D330" s="101" t="s">
        <v>309</v>
      </c>
      <c r="E330" s="102" t="s">
        <v>620</v>
      </c>
      <c r="F330" s="103" t="s">
        <v>309</v>
      </c>
      <c r="G330" s="104"/>
      <c r="H330" s="104"/>
      <c r="I330" s="104"/>
      <c r="J330" s="104"/>
      <c r="K330" s="104"/>
    </row>
    <row r="331" spans="1:11" ht="15.95" customHeight="1" x14ac:dyDescent="0.2">
      <c r="A331" s="99">
        <v>46081</v>
      </c>
      <c r="B331" s="100">
        <v>0.91666666666666663</v>
      </c>
      <c r="C331" s="108">
        <f>IF(B330&lt;B331,B330+1-B331,B330-B331)/TIME(7,0,0)</f>
        <v>0.999999999999999</v>
      </c>
      <c r="D331" s="101" t="s">
        <v>309</v>
      </c>
      <c r="E331" s="102" t="s">
        <v>620</v>
      </c>
      <c r="F331" s="103" t="s">
        <v>309</v>
      </c>
      <c r="G331" s="104"/>
      <c r="H331" s="104"/>
      <c r="I331" s="104"/>
      <c r="J331" s="104"/>
      <c r="K331" s="104"/>
    </row>
    <row r="332" spans="1:11" ht="15.95" customHeight="1" x14ac:dyDescent="0.2">
      <c r="A332" s="99">
        <v>46082</v>
      </c>
      <c r="B332" s="100">
        <v>0.3125</v>
      </c>
      <c r="C332" s="107">
        <f>(B333-B332)/TIME(7,0,0)</f>
        <v>1.0000000000000009</v>
      </c>
      <c r="D332" s="101" t="s">
        <v>149</v>
      </c>
      <c r="E332" s="102" t="s">
        <v>469</v>
      </c>
      <c r="F332" s="103" t="s">
        <v>774</v>
      </c>
      <c r="G332" s="104"/>
      <c r="H332" s="104"/>
      <c r="I332" s="104"/>
      <c r="J332" s="104"/>
      <c r="K332" s="104"/>
    </row>
    <row r="333" spans="1:11" ht="15.95" customHeight="1" x14ac:dyDescent="0.2">
      <c r="A333" s="99">
        <v>46082</v>
      </c>
      <c r="B333" s="100">
        <v>0.60416666666666696</v>
      </c>
      <c r="D333" s="101" t="s">
        <v>149</v>
      </c>
      <c r="E333" s="102" t="s">
        <v>469</v>
      </c>
      <c r="F333" s="103" t="s">
        <v>774</v>
      </c>
      <c r="G333" s="104"/>
      <c r="H333" s="104"/>
      <c r="I333" s="104"/>
      <c r="J333" s="104"/>
      <c r="K333" s="104"/>
    </row>
    <row r="334" spans="1:11" ht="15.95" customHeight="1" x14ac:dyDescent="0.2">
      <c r="A334" s="99">
        <v>46082</v>
      </c>
      <c r="B334" s="100">
        <v>0.20833333333333301</v>
      </c>
      <c r="C334" s="108"/>
      <c r="D334" s="101" t="s">
        <v>308</v>
      </c>
      <c r="E334" s="102" t="s">
        <v>619</v>
      </c>
      <c r="F334" s="103" t="s">
        <v>308</v>
      </c>
      <c r="G334" s="104"/>
      <c r="H334" s="104"/>
      <c r="I334" s="104"/>
      <c r="J334" s="104"/>
      <c r="K334" s="104"/>
    </row>
    <row r="335" spans="1:11" ht="15.95" customHeight="1" x14ac:dyDescent="0.2">
      <c r="A335" s="99">
        <v>46081</v>
      </c>
      <c r="B335" s="100">
        <v>0.91666666666666663</v>
      </c>
      <c r="C335" s="108">
        <f>IF(B334&lt;B335,B334+1-B335,B334-B335)/TIME(7,0,0)</f>
        <v>0.999999999999999</v>
      </c>
      <c r="D335" s="101" t="s">
        <v>308</v>
      </c>
      <c r="E335" s="102" t="s">
        <v>619</v>
      </c>
      <c r="F335" s="103" t="s">
        <v>308</v>
      </c>
      <c r="G335" s="104"/>
      <c r="H335" s="104"/>
      <c r="I335" s="104"/>
      <c r="J335" s="104"/>
      <c r="K335" s="104"/>
    </row>
    <row r="336" spans="1:11" ht="15.95" customHeight="1" x14ac:dyDescent="0.2">
      <c r="A336" s="99">
        <v>46082</v>
      </c>
      <c r="B336" s="100">
        <v>0.3125</v>
      </c>
      <c r="C336" s="107">
        <f>(B337-B336)/TIME(7,0,0)</f>
        <v>1.0000000000000009</v>
      </c>
      <c r="D336" s="101" t="s">
        <v>88</v>
      </c>
      <c r="E336" s="102" t="s">
        <v>410</v>
      </c>
      <c r="F336" s="103" t="s">
        <v>674</v>
      </c>
      <c r="G336" s="104"/>
      <c r="H336" s="104"/>
      <c r="I336" s="104"/>
      <c r="J336" s="104"/>
      <c r="K336" s="104"/>
    </row>
    <row r="337" spans="1:11" ht="15.95" customHeight="1" x14ac:dyDescent="0.2">
      <c r="A337" s="99">
        <v>46082</v>
      </c>
      <c r="B337" s="100">
        <v>0.60416666666666696</v>
      </c>
      <c r="D337" s="101" t="s">
        <v>88</v>
      </c>
      <c r="E337" s="102" t="s">
        <v>410</v>
      </c>
      <c r="F337" s="103" t="s">
        <v>674</v>
      </c>
      <c r="G337" s="104"/>
      <c r="H337" s="104"/>
      <c r="I337" s="104"/>
      <c r="J337" s="104"/>
      <c r="K337" s="104"/>
    </row>
    <row r="338" spans="1:11" ht="15.95" customHeight="1" x14ac:dyDescent="0.2">
      <c r="A338" s="99">
        <v>46082</v>
      </c>
      <c r="B338" s="100">
        <v>0.3125</v>
      </c>
      <c r="C338" s="107">
        <f>(B339-B338)/TIME(7,0,0)</f>
        <v>1.0000000000000009</v>
      </c>
      <c r="D338" s="101" t="s">
        <v>21</v>
      </c>
      <c r="E338" s="102" t="s">
        <v>344</v>
      </c>
      <c r="F338" s="103" t="s">
        <v>674</v>
      </c>
      <c r="G338" s="104"/>
      <c r="H338" s="104"/>
      <c r="I338" s="104"/>
      <c r="J338" s="104"/>
      <c r="K338" s="104"/>
    </row>
    <row r="339" spans="1:11" ht="15.95" customHeight="1" x14ac:dyDescent="0.2">
      <c r="A339" s="99">
        <v>46082</v>
      </c>
      <c r="B339" s="100">
        <v>0.60416666666666696</v>
      </c>
      <c r="D339" s="101" t="s">
        <v>21</v>
      </c>
      <c r="E339" s="102" t="s">
        <v>344</v>
      </c>
      <c r="F339" s="103" t="s">
        <v>674</v>
      </c>
      <c r="G339" s="104"/>
      <c r="H339" s="104"/>
      <c r="I339" s="104"/>
      <c r="J339" s="104"/>
      <c r="K339" s="104"/>
    </row>
    <row r="340" spans="1:11" ht="15.95" customHeight="1" x14ac:dyDescent="0.2">
      <c r="A340" s="99">
        <v>46082</v>
      </c>
      <c r="B340" s="100">
        <v>0.31666666666666665</v>
      </c>
      <c r="C340" s="107">
        <v>0.98</v>
      </c>
      <c r="D340" s="101" t="s">
        <v>32</v>
      </c>
      <c r="E340" s="102" t="s">
        <v>355</v>
      </c>
      <c r="F340" s="103" t="s">
        <v>180</v>
      </c>
      <c r="G340" s="104"/>
      <c r="H340" s="104"/>
      <c r="I340" s="104"/>
      <c r="J340" s="104"/>
      <c r="K340" s="104"/>
    </row>
    <row r="341" spans="1:11" ht="15.95" customHeight="1" x14ac:dyDescent="0.2">
      <c r="A341" s="99">
        <v>46082</v>
      </c>
      <c r="B341" s="100">
        <v>0.60416666666666663</v>
      </c>
      <c r="D341" s="101" t="s">
        <v>32</v>
      </c>
      <c r="E341" s="102" t="s">
        <v>355</v>
      </c>
      <c r="F341" s="103" t="s">
        <v>180</v>
      </c>
      <c r="G341" s="104"/>
      <c r="H341" s="104"/>
      <c r="I341" s="104"/>
      <c r="J341" s="104"/>
      <c r="K341" s="104"/>
    </row>
    <row r="342" spans="1:11" ht="15.95" customHeight="1" x14ac:dyDescent="0.2">
      <c r="A342" s="99">
        <v>46082</v>
      </c>
      <c r="B342" s="100">
        <v>0.3125</v>
      </c>
      <c r="C342" s="107">
        <f>(B343-B342)/TIME(7,0,0)</f>
        <v>1.0000000000000009</v>
      </c>
      <c r="D342" s="101" t="s">
        <v>82</v>
      </c>
      <c r="E342" s="102" t="s">
        <v>404</v>
      </c>
      <c r="F342" s="103" t="s">
        <v>674</v>
      </c>
      <c r="G342" s="104"/>
      <c r="H342" s="104"/>
      <c r="I342" s="104"/>
      <c r="J342" s="104"/>
      <c r="K342" s="104"/>
    </row>
    <row r="343" spans="1:11" ht="15.95" customHeight="1" x14ac:dyDescent="0.2">
      <c r="A343" s="99">
        <v>46082</v>
      </c>
      <c r="B343" s="100">
        <v>0.60416666666666696</v>
      </c>
      <c r="D343" s="101" t="s">
        <v>82</v>
      </c>
      <c r="E343" s="102" t="s">
        <v>404</v>
      </c>
      <c r="F343" s="103" t="s">
        <v>674</v>
      </c>
      <c r="G343" s="104"/>
      <c r="H343" s="104"/>
      <c r="I343" s="104"/>
      <c r="J343" s="104"/>
      <c r="K343" s="104"/>
    </row>
    <row r="344" spans="1:11" ht="15.95" customHeight="1" x14ac:dyDescent="0.2">
      <c r="A344" s="99">
        <v>46082</v>
      </c>
      <c r="B344" s="100">
        <v>0.3125</v>
      </c>
      <c r="C344" s="107">
        <f>(B345-B344)/TIME(7,0,0)</f>
        <v>1.0000000000000009</v>
      </c>
      <c r="D344" s="101" t="s">
        <v>773</v>
      </c>
      <c r="E344" s="102" t="s">
        <v>497</v>
      </c>
      <c r="F344" s="103"/>
      <c r="G344" s="104"/>
      <c r="H344" s="104"/>
      <c r="I344" s="104"/>
      <c r="J344" s="104"/>
      <c r="K344" s="104"/>
    </row>
    <row r="345" spans="1:11" ht="15.95" customHeight="1" x14ac:dyDescent="0.2">
      <c r="A345" s="99">
        <v>46082</v>
      </c>
      <c r="B345" s="100">
        <v>0.60416666666666696</v>
      </c>
      <c r="D345" s="101" t="s">
        <v>773</v>
      </c>
      <c r="E345" s="102" t="s">
        <v>497</v>
      </c>
      <c r="F345" s="103"/>
      <c r="G345" s="104"/>
      <c r="H345" s="104"/>
      <c r="I345" s="104"/>
      <c r="J345" s="104"/>
      <c r="K345" s="104"/>
    </row>
    <row r="346" spans="1:11" ht="15.95" customHeight="1" x14ac:dyDescent="0.2">
      <c r="A346" s="99">
        <v>46082</v>
      </c>
      <c r="B346" s="100">
        <v>0.3125</v>
      </c>
      <c r="C346" s="107">
        <v>0.62</v>
      </c>
      <c r="D346" s="101" t="s">
        <v>60</v>
      </c>
      <c r="E346" s="102" t="s">
        <v>606</v>
      </c>
      <c r="F346" s="103"/>
      <c r="G346" s="104"/>
      <c r="H346" s="104"/>
      <c r="I346" s="104"/>
      <c r="J346" s="104"/>
      <c r="K346" s="104"/>
    </row>
    <row r="347" spans="1:11" ht="15.95" customHeight="1" x14ac:dyDescent="0.2">
      <c r="A347" s="99">
        <v>46082</v>
      </c>
      <c r="B347" s="100">
        <v>0.49513888888888891</v>
      </c>
      <c r="D347" s="101" t="s">
        <v>60</v>
      </c>
      <c r="E347" s="102" t="s">
        <v>383</v>
      </c>
      <c r="F347" s="103" t="s">
        <v>668</v>
      </c>
      <c r="G347" s="104"/>
      <c r="H347" s="104"/>
      <c r="I347" s="104"/>
      <c r="J347" s="104"/>
      <c r="K347" s="104"/>
    </row>
    <row r="348" spans="1:11" ht="15.95" customHeight="1" x14ac:dyDescent="0.2">
      <c r="A348" s="99">
        <v>46082</v>
      </c>
      <c r="B348" s="100">
        <v>0.3125</v>
      </c>
      <c r="C348" s="107">
        <f>(B349-B348)/TIME(7,0,0)</f>
        <v>1.0000000000000009</v>
      </c>
      <c r="D348" s="101" t="s">
        <v>100</v>
      </c>
      <c r="E348" s="102" t="s">
        <v>425</v>
      </c>
      <c r="F348" s="103" t="s">
        <v>674</v>
      </c>
      <c r="G348" s="104"/>
      <c r="H348" s="104"/>
      <c r="I348" s="104"/>
      <c r="J348" s="104"/>
      <c r="K348" s="104"/>
    </row>
    <row r="349" spans="1:11" ht="15.95" customHeight="1" x14ac:dyDescent="0.2">
      <c r="A349" s="99">
        <v>46082</v>
      </c>
      <c r="B349" s="100">
        <v>0.60416666666666696</v>
      </c>
      <c r="D349" s="101" t="s">
        <v>100</v>
      </c>
      <c r="E349" s="102" t="s">
        <v>425</v>
      </c>
      <c r="F349" s="103" t="s">
        <v>674</v>
      </c>
      <c r="G349" s="104"/>
      <c r="H349" s="104"/>
      <c r="I349" s="104"/>
      <c r="J349" s="104"/>
      <c r="K349" s="104"/>
    </row>
    <row r="350" spans="1:11" ht="15.95" customHeight="1" x14ac:dyDescent="0.2">
      <c r="A350" s="99">
        <v>46082</v>
      </c>
      <c r="B350" s="100">
        <v>0.3125</v>
      </c>
      <c r="C350" s="107">
        <f>(B351-B350)/TIME(7,0,0)</f>
        <v>1.0000000000000009</v>
      </c>
      <c r="D350" s="101" t="s">
        <v>694</v>
      </c>
      <c r="E350" s="102" t="s">
        <v>647</v>
      </c>
      <c r="F350" s="103"/>
      <c r="G350" s="104"/>
      <c r="H350" s="104"/>
      <c r="I350" s="104"/>
      <c r="J350" s="104"/>
      <c r="K350" s="104"/>
    </row>
    <row r="351" spans="1:11" ht="15.95" customHeight="1" x14ac:dyDescent="0.2">
      <c r="A351" s="99">
        <v>46082</v>
      </c>
      <c r="B351" s="100">
        <v>0.60416666666666696</v>
      </c>
      <c r="D351" s="101" t="s">
        <v>694</v>
      </c>
      <c r="E351" s="102" t="s">
        <v>647</v>
      </c>
      <c r="F351" s="103"/>
      <c r="G351" s="104"/>
      <c r="H351" s="104"/>
      <c r="I351" s="104"/>
      <c r="J351" s="104"/>
      <c r="K351" s="104"/>
    </row>
    <row r="352" spans="1:11" ht="15.95" customHeight="1" x14ac:dyDescent="0.2">
      <c r="A352" s="99">
        <v>46082</v>
      </c>
      <c r="B352" s="100">
        <v>0.3125</v>
      </c>
      <c r="C352" s="107">
        <f>(B353-B352)/TIME(7,0,0)</f>
        <v>1.0000000000000009</v>
      </c>
      <c r="D352" s="101" t="s">
        <v>113</v>
      </c>
      <c r="E352" s="102" t="s">
        <v>437</v>
      </c>
      <c r="F352" s="103" t="s">
        <v>674</v>
      </c>
      <c r="G352" s="104"/>
      <c r="H352" s="104"/>
      <c r="I352" s="104"/>
      <c r="J352" s="104"/>
      <c r="K352" s="104"/>
    </row>
    <row r="353" spans="1:11" ht="15.95" customHeight="1" x14ac:dyDescent="0.2">
      <c r="A353" s="99">
        <v>46082</v>
      </c>
      <c r="B353" s="100">
        <v>0.60416666666666696</v>
      </c>
      <c r="D353" s="101" t="s">
        <v>113</v>
      </c>
      <c r="E353" s="102" t="s">
        <v>437</v>
      </c>
      <c r="F353" s="103" t="s">
        <v>674</v>
      </c>
      <c r="G353" s="104"/>
      <c r="H353" s="104"/>
      <c r="I353" s="104"/>
      <c r="J353" s="104"/>
      <c r="K353" s="104"/>
    </row>
    <row r="354" spans="1:11" ht="15.95" customHeight="1" x14ac:dyDescent="0.2">
      <c r="A354" s="99">
        <v>46082</v>
      </c>
      <c r="B354" s="100">
        <v>0.31736111111111109</v>
      </c>
      <c r="C354" s="107">
        <v>0.37</v>
      </c>
      <c r="D354" s="101" t="s">
        <v>258</v>
      </c>
      <c r="E354" s="102" t="s">
        <v>569</v>
      </c>
      <c r="F354" s="103" t="s">
        <v>208</v>
      </c>
      <c r="G354" s="104"/>
      <c r="H354" s="104"/>
      <c r="I354" s="104"/>
      <c r="J354" s="104"/>
      <c r="K354" s="104"/>
    </row>
    <row r="355" spans="1:11" ht="15.95" customHeight="1" x14ac:dyDescent="0.2">
      <c r="A355" s="99">
        <v>46082</v>
      </c>
      <c r="B355" s="100">
        <v>0.42638888888888887</v>
      </c>
      <c r="D355" s="101" t="s">
        <v>258</v>
      </c>
      <c r="E355" s="102" t="s">
        <v>569</v>
      </c>
      <c r="F355" s="103" t="s">
        <v>208</v>
      </c>
      <c r="G355" s="104"/>
      <c r="H355" s="104"/>
      <c r="I355" s="104"/>
      <c r="J355" s="104"/>
      <c r="K355" s="104"/>
    </row>
    <row r="356" spans="1:11" ht="15.95" customHeight="1" x14ac:dyDescent="0.2">
      <c r="A356" s="99">
        <v>46082</v>
      </c>
      <c r="B356" s="100">
        <v>0.3125</v>
      </c>
      <c r="C356" s="107">
        <f>(B357-B356)/TIME(7,0,0)</f>
        <v>1.0000000000000009</v>
      </c>
      <c r="D356" s="101" t="s">
        <v>44</v>
      </c>
      <c r="E356" s="102" t="s">
        <v>366</v>
      </c>
      <c r="F356" s="103" t="s">
        <v>674</v>
      </c>
      <c r="G356" s="104"/>
      <c r="H356" s="104"/>
      <c r="I356" s="104"/>
      <c r="J356" s="104"/>
      <c r="K356" s="104"/>
    </row>
    <row r="357" spans="1:11" ht="15.95" customHeight="1" x14ac:dyDescent="0.2">
      <c r="A357" s="99">
        <v>46082</v>
      </c>
      <c r="B357" s="100">
        <v>0.60416666666666696</v>
      </c>
      <c r="D357" s="101" t="s">
        <v>44</v>
      </c>
      <c r="E357" s="102" t="s">
        <v>366</v>
      </c>
      <c r="F357" s="103" t="s">
        <v>674</v>
      </c>
      <c r="G357" s="104"/>
      <c r="H357" s="104"/>
      <c r="I357" s="104"/>
      <c r="J357" s="104"/>
      <c r="K357" s="104"/>
    </row>
    <row r="358" spans="1:11" ht="15.95" customHeight="1" x14ac:dyDescent="0.2">
      <c r="A358" s="99">
        <v>46082</v>
      </c>
      <c r="B358" s="100">
        <v>0.3125</v>
      </c>
      <c r="C358" s="107">
        <v>0.61</v>
      </c>
      <c r="D358" s="101" t="s">
        <v>679</v>
      </c>
      <c r="E358" s="102" t="s">
        <v>408</v>
      </c>
      <c r="F358" s="103"/>
      <c r="G358" s="104"/>
      <c r="H358" s="104"/>
      <c r="I358" s="104"/>
      <c r="J358" s="104"/>
      <c r="K358" s="104"/>
    </row>
    <row r="359" spans="1:11" ht="15.95" customHeight="1" x14ac:dyDescent="0.2">
      <c r="A359" s="99">
        <v>46082</v>
      </c>
      <c r="B359" s="100">
        <v>0.34722222222222221</v>
      </c>
      <c r="D359" s="101" t="s">
        <v>679</v>
      </c>
      <c r="E359" s="102" t="s">
        <v>408</v>
      </c>
      <c r="F359" s="103"/>
      <c r="G359" s="104"/>
      <c r="H359" s="104"/>
      <c r="I359" s="104"/>
      <c r="J359" s="104"/>
      <c r="K359" s="104"/>
    </row>
    <row r="360" spans="1:11" ht="15.95" customHeight="1" x14ac:dyDescent="0.2">
      <c r="A360" s="99">
        <v>46082</v>
      </c>
      <c r="B360" s="100">
        <v>0.45902777777777776</v>
      </c>
      <c r="D360" s="101" t="s">
        <v>679</v>
      </c>
      <c r="E360" s="102" t="s">
        <v>408</v>
      </c>
      <c r="F360" s="103"/>
      <c r="G360" s="104"/>
      <c r="H360" s="104"/>
      <c r="I360" s="104"/>
      <c r="J360" s="104"/>
      <c r="K360" s="104"/>
    </row>
    <row r="361" spans="1:11" ht="15.95" customHeight="1" x14ac:dyDescent="0.2">
      <c r="A361" s="99">
        <v>46082</v>
      </c>
      <c r="B361" s="100">
        <v>0.60416666666666696</v>
      </c>
      <c r="D361" s="101" t="s">
        <v>679</v>
      </c>
      <c r="E361" s="102" t="s">
        <v>408</v>
      </c>
      <c r="F361" s="103"/>
      <c r="G361" s="104"/>
      <c r="H361" s="104"/>
      <c r="I361" s="104"/>
      <c r="J361" s="104"/>
      <c r="K361" s="104"/>
    </row>
    <row r="362" spans="1:11" ht="15.95" customHeight="1" x14ac:dyDescent="0.2">
      <c r="A362" s="99">
        <v>46082</v>
      </c>
      <c r="B362" s="100">
        <v>0.3125</v>
      </c>
      <c r="C362" s="107">
        <f>(B363-B362)/TIME(7,0,0)</f>
        <v>1.0000000000000009</v>
      </c>
      <c r="D362" s="101" t="s">
        <v>234</v>
      </c>
      <c r="E362" s="102" t="s">
        <v>547</v>
      </c>
      <c r="F362" s="103" t="s">
        <v>232</v>
      </c>
      <c r="G362" s="104"/>
      <c r="H362" s="104"/>
      <c r="I362" s="104"/>
      <c r="J362" s="104"/>
      <c r="K362" s="104"/>
    </row>
    <row r="363" spans="1:11" ht="15.95" customHeight="1" x14ac:dyDescent="0.2">
      <c r="A363" s="99">
        <v>46082</v>
      </c>
      <c r="B363" s="100">
        <v>0.60416666666666696</v>
      </c>
      <c r="D363" s="101" t="s">
        <v>234</v>
      </c>
      <c r="E363" s="102" t="s">
        <v>547</v>
      </c>
      <c r="F363" s="103" t="s">
        <v>232</v>
      </c>
      <c r="G363" s="104"/>
      <c r="H363" s="104"/>
      <c r="I363" s="104"/>
      <c r="J363" s="104"/>
      <c r="K363" s="104"/>
    </row>
    <row r="364" spans="1:11" ht="15.95" customHeight="1" x14ac:dyDescent="0.2">
      <c r="A364" s="99">
        <v>46082</v>
      </c>
      <c r="B364" s="100">
        <v>0.3125</v>
      </c>
      <c r="C364" s="107">
        <f>(B365-B364)/TIME(7,0,0)</f>
        <v>1.0000000000000009</v>
      </c>
      <c r="D364" s="101" t="s">
        <v>656</v>
      </c>
      <c r="E364" s="102" t="s">
        <v>606</v>
      </c>
      <c r="F364" s="103"/>
      <c r="G364" s="104"/>
      <c r="H364" s="104"/>
      <c r="I364" s="104"/>
      <c r="J364" s="104"/>
      <c r="K364" s="104"/>
    </row>
    <row r="365" spans="1:11" ht="15.95" customHeight="1" x14ac:dyDescent="0.2">
      <c r="A365" s="99">
        <v>46082</v>
      </c>
      <c r="B365" s="100">
        <v>0.60416666666666696</v>
      </c>
      <c r="D365" s="101" t="s">
        <v>656</v>
      </c>
      <c r="E365" s="102" t="s">
        <v>606</v>
      </c>
      <c r="F365" s="103"/>
      <c r="G365" s="104"/>
      <c r="H365" s="104"/>
      <c r="I365" s="104"/>
      <c r="J365" s="104"/>
      <c r="K365" s="104"/>
    </row>
    <row r="366" spans="1:11" ht="15.95" customHeight="1" x14ac:dyDescent="0.2">
      <c r="A366" s="99">
        <v>46082</v>
      </c>
      <c r="B366" s="100">
        <v>0.3125</v>
      </c>
      <c r="C366" s="107">
        <f>(B367-B366)/TIME(7,0,0)</f>
        <v>1.0000000000000009</v>
      </c>
      <c r="D366" s="101" t="s">
        <v>178</v>
      </c>
      <c r="E366" s="102" t="s">
        <v>495</v>
      </c>
      <c r="F366" s="103" t="s">
        <v>261</v>
      </c>
      <c r="G366" s="104"/>
      <c r="H366" s="104"/>
      <c r="I366" s="104"/>
      <c r="J366" s="104"/>
      <c r="K366" s="104"/>
    </row>
    <row r="367" spans="1:11" ht="15.95" customHeight="1" x14ac:dyDescent="0.2">
      <c r="A367" s="99">
        <v>46082</v>
      </c>
      <c r="B367" s="100">
        <v>0.60416666666666696</v>
      </c>
      <c r="D367" s="101" t="s">
        <v>178</v>
      </c>
      <c r="E367" s="102" t="s">
        <v>495</v>
      </c>
      <c r="F367" s="103" t="s">
        <v>261</v>
      </c>
      <c r="G367" s="104"/>
      <c r="H367" s="104"/>
      <c r="I367" s="104"/>
      <c r="J367" s="104"/>
      <c r="K367" s="104"/>
    </row>
    <row r="368" spans="1:11" ht="15.95" customHeight="1" x14ac:dyDescent="0.2">
      <c r="A368" s="99">
        <v>46082</v>
      </c>
      <c r="B368" s="100">
        <v>0.3125</v>
      </c>
      <c r="C368" s="107">
        <f>(B369-B368)/TIME(7,0,0)</f>
        <v>1.0000000000000009</v>
      </c>
      <c r="D368" s="101" t="s">
        <v>206</v>
      </c>
      <c r="E368" s="102" t="s">
        <v>522</v>
      </c>
      <c r="F368" s="103" t="s">
        <v>199</v>
      </c>
      <c r="G368" s="104"/>
      <c r="H368" s="104"/>
      <c r="I368" s="104"/>
      <c r="J368" s="104"/>
      <c r="K368" s="104"/>
    </row>
    <row r="369" spans="1:11" ht="15.95" customHeight="1" x14ac:dyDescent="0.2">
      <c r="A369" s="99">
        <v>46082</v>
      </c>
      <c r="B369" s="100">
        <v>0.60416666666666696</v>
      </c>
      <c r="D369" s="101" t="s">
        <v>206</v>
      </c>
      <c r="E369" s="102" t="s">
        <v>522</v>
      </c>
      <c r="F369" s="103" t="s">
        <v>199</v>
      </c>
      <c r="G369" s="104"/>
      <c r="H369" s="104"/>
      <c r="I369" s="104"/>
      <c r="J369" s="104"/>
      <c r="K369" s="104"/>
    </row>
    <row r="370" spans="1:11" ht="15.95" customHeight="1" x14ac:dyDescent="0.2">
      <c r="A370" s="99">
        <v>46082</v>
      </c>
      <c r="B370" s="100">
        <v>0.3125</v>
      </c>
      <c r="C370" s="107">
        <f>(B371-B370)/TIME(7,0,0)</f>
        <v>1.0000000000000009</v>
      </c>
      <c r="D370" s="101" t="s">
        <v>268</v>
      </c>
      <c r="E370" s="102" t="s">
        <v>578</v>
      </c>
      <c r="F370" s="103"/>
      <c r="G370" s="104"/>
      <c r="H370" s="104"/>
      <c r="I370" s="104"/>
      <c r="J370" s="104"/>
      <c r="K370" s="104"/>
    </row>
    <row r="371" spans="1:11" ht="15.95" customHeight="1" x14ac:dyDescent="0.2">
      <c r="A371" s="99">
        <v>46082</v>
      </c>
      <c r="B371" s="100">
        <v>0.60416666666666696</v>
      </c>
      <c r="D371" s="101" t="s">
        <v>268</v>
      </c>
      <c r="E371" s="102" t="s">
        <v>578</v>
      </c>
      <c r="F371" s="103"/>
      <c r="G371" s="104"/>
      <c r="H371" s="104"/>
      <c r="I371" s="104"/>
      <c r="J371" s="104"/>
      <c r="K371" s="104"/>
    </row>
    <row r="372" spans="1:11" ht="15.95" customHeight="1" x14ac:dyDescent="0.2">
      <c r="A372" s="99">
        <v>46082</v>
      </c>
      <c r="B372" s="100">
        <v>0.3125</v>
      </c>
      <c r="C372" s="107">
        <f>(B373-B372)/TIME(7,0,0)</f>
        <v>1.0000000000000009</v>
      </c>
      <c r="D372" s="101" t="s">
        <v>770</v>
      </c>
      <c r="E372" s="102" t="s">
        <v>474</v>
      </c>
      <c r="F372" s="103" t="s">
        <v>155</v>
      </c>
      <c r="G372" s="104"/>
      <c r="H372" s="104"/>
      <c r="I372" s="104"/>
      <c r="J372" s="104"/>
      <c r="K372" s="104"/>
    </row>
    <row r="373" spans="1:11" ht="15.95" customHeight="1" x14ac:dyDescent="0.2">
      <c r="A373" s="99">
        <v>46082</v>
      </c>
      <c r="B373" s="100">
        <v>0.60416666666666696</v>
      </c>
      <c r="D373" s="101" t="s">
        <v>770</v>
      </c>
      <c r="E373" s="102" t="s">
        <v>474</v>
      </c>
      <c r="F373" s="103" t="s">
        <v>155</v>
      </c>
      <c r="G373" s="100"/>
      <c r="I373" s="104"/>
      <c r="J373" s="104"/>
      <c r="K373" s="104"/>
    </row>
    <row r="374" spans="1:11" ht="15.95" customHeight="1" x14ac:dyDescent="0.2">
      <c r="A374" s="99">
        <v>46082</v>
      </c>
      <c r="B374" s="100">
        <v>0.3125</v>
      </c>
      <c r="C374" s="107">
        <f>(B375-B374)/TIME(7,0,0)</f>
        <v>1.0000000000000009</v>
      </c>
      <c r="D374" s="101" t="s">
        <v>215</v>
      </c>
      <c r="E374" s="102" t="s">
        <v>531</v>
      </c>
      <c r="F374" s="103" t="s">
        <v>232</v>
      </c>
      <c r="G374" s="100"/>
      <c r="I374" s="104"/>
      <c r="J374" s="104"/>
      <c r="K374" s="104"/>
    </row>
    <row r="375" spans="1:11" ht="15.95" customHeight="1" x14ac:dyDescent="0.2">
      <c r="A375" s="99">
        <v>46082</v>
      </c>
      <c r="B375" s="100">
        <v>0.60416666666666696</v>
      </c>
      <c r="D375" s="101" t="s">
        <v>215</v>
      </c>
      <c r="E375" s="102" t="s">
        <v>531</v>
      </c>
      <c r="F375" s="103" t="s">
        <v>232</v>
      </c>
      <c r="G375" s="104"/>
      <c r="H375" s="104"/>
      <c r="I375" s="104"/>
      <c r="J375" s="104"/>
      <c r="K375" s="104"/>
    </row>
    <row r="376" spans="1:11" ht="15.95" customHeight="1" x14ac:dyDescent="0.2">
      <c r="A376" s="99">
        <v>46082</v>
      </c>
      <c r="B376" s="100">
        <v>0.3125</v>
      </c>
      <c r="C376" s="107">
        <f>(B377-B376)/TIME(7,0,0)</f>
        <v>1.0000000000000009</v>
      </c>
      <c r="D376" s="101" t="s">
        <v>761</v>
      </c>
      <c r="E376" s="102" t="s">
        <v>539</v>
      </c>
      <c r="F376" s="103" t="s">
        <v>224</v>
      </c>
      <c r="G376" s="104"/>
      <c r="H376" s="104"/>
      <c r="I376" s="104"/>
      <c r="J376" s="104"/>
      <c r="K376" s="104"/>
    </row>
    <row r="377" spans="1:11" ht="15.95" customHeight="1" x14ac:dyDescent="0.2">
      <c r="A377" s="99">
        <v>46082</v>
      </c>
      <c r="B377" s="100">
        <v>0.60416666666666696</v>
      </c>
      <c r="D377" s="101" t="s">
        <v>761</v>
      </c>
      <c r="E377" s="102" t="s">
        <v>539</v>
      </c>
      <c r="F377" s="103" t="s">
        <v>224</v>
      </c>
      <c r="G377" s="104"/>
      <c r="H377" s="104"/>
      <c r="I377" s="104"/>
      <c r="J377" s="104"/>
      <c r="K377" s="104"/>
    </row>
    <row r="378" spans="1:11" ht="15.95" customHeight="1" x14ac:dyDescent="0.2">
      <c r="A378" s="99">
        <v>46082</v>
      </c>
      <c r="B378" s="100">
        <v>0.3125</v>
      </c>
      <c r="C378" s="107">
        <f>(B379-B378)/TIME(7,0,0)</f>
        <v>1.0000000000000009</v>
      </c>
      <c r="D378" s="101" t="s">
        <v>187</v>
      </c>
      <c r="E378" s="102" t="s">
        <v>505</v>
      </c>
      <c r="F378" s="103" t="s">
        <v>784</v>
      </c>
      <c r="G378" s="104"/>
      <c r="H378" s="104"/>
      <c r="I378" s="104"/>
      <c r="J378" s="104"/>
      <c r="K378" s="104"/>
    </row>
    <row r="379" spans="1:11" ht="15.95" customHeight="1" x14ac:dyDescent="0.2">
      <c r="A379" s="99">
        <v>46082</v>
      </c>
      <c r="B379" s="100">
        <v>0.60416666666666696</v>
      </c>
      <c r="D379" s="101" t="s">
        <v>187</v>
      </c>
      <c r="E379" s="102" t="s">
        <v>505</v>
      </c>
      <c r="F379" s="103" t="s">
        <v>784</v>
      </c>
      <c r="G379" s="104"/>
      <c r="H379" s="104"/>
      <c r="I379" s="104"/>
      <c r="J379" s="104"/>
      <c r="K379" s="104"/>
    </row>
    <row r="380" spans="1:11" ht="15.95" customHeight="1" x14ac:dyDescent="0.2">
      <c r="A380" s="99">
        <v>46082</v>
      </c>
      <c r="B380" s="100">
        <v>0.3125</v>
      </c>
      <c r="C380" s="107">
        <f>(B381-B380)/TIME(7,0,0)</f>
        <v>1.0000000000000009</v>
      </c>
      <c r="D380" s="101" t="s">
        <v>220</v>
      </c>
      <c r="E380" s="102" t="s">
        <v>535</v>
      </c>
      <c r="F380" s="103" t="s">
        <v>216</v>
      </c>
      <c r="G380" s="104"/>
      <c r="H380" s="104"/>
      <c r="I380" s="104"/>
      <c r="J380" s="104"/>
      <c r="K380" s="104"/>
    </row>
    <row r="381" spans="1:11" ht="15.95" customHeight="1" x14ac:dyDescent="0.2">
      <c r="A381" s="99">
        <v>46082</v>
      </c>
      <c r="B381" s="100">
        <v>0.60416666666666696</v>
      </c>
      <c r="D381" s="101" t="s">
        <v>220</v>
      </c>
      <c r="E381" s="102" t="s">
        <v>535</v>
      </c>
      <c r="F381" s="103" t="s">
        <v>216</v>
      </c>
      <c r="G381" s="104"/>
      <c r="H381" s="104"/>
      <c r="I381" s="104"/>
      <c r="J381" s="104"/>
      <c r="K381" s="104"/>
    </row>
    <row r="382" spans="1:11" ht="15.95" customHeight="1" x14ac:dyDescent="0.2">
      <c r="A382" s="99">
        <v>46082</v>
      </c>
      <c r="B382" s="100">
        <v>0.3125</v>
      </c>
      <c r="C382" s="107">
        <f>(B383-B382)/TIME(7,0,0)</f>
        <v>1.0000000000000009</v>
      </c>
      <c r="D382" s="101" t="s">
        <v>791</v>
      </c>
      <c r="E382" s="102" t="s">
        <v>640</v>
      </c>
      <c r="F382" s="103"/>
      <c r="G382" s="104"/>
      <c r="H382" s="104"/>
      <c r="I382" s="104"/>
      <c r="J382" s="104"/>
      <c r="K382" s="104"/>
    </row>
    <row r="383" spans="1:11" ht="15.95" customHeight="1" x14ac:dyDescent="0.2">
      <c r="A383" s="99">
        <v>46082</v>
      </c>
      <c r="B383" s="100">
        <v>0.60416666666666696</v>
      </c>
      <c r="D383" s="101" t="s">
        <v>791</v>
      </c>
      <c r="E383" s="102" t="s">
        <v>640</v>
      </c>
      <c r="F383" s="103"/>
      <c r="G383" s="104"/>
      <c r="H383" s="104"/>
      <c r="I383" s="104"/>
      <c r="J383" s="104"/>
      <c r="K383" s="104"/>
    </row>
    <row r="384" spans="1:11" ht="15.95" customHeight="1" x14ac:dyDescent="0.2">
      <c r="A384" s="99">
        <v>46082</v>
      </c>
      <c r="B384" s="100">
        <v>0.3125</v>
      </c>
      <c r="C384" s="107">
        <f>(B385-B384)/TIME(7,0,0)</f>
        <v>1.0000000000000009</v>
      </c>
      <c r="D384" s="101" t="s">
        <v>196</v>
      </c>
      <c r="E384" s="102" t="s">
        <v>513</v>
      </c>
      <c r="F384" s="103" t="s">
        <v>232</v>
      </c>
      <c r="G384" s="104"/>
      <c r="H384" s="104"/>
      <c r="I384" s="104"/>
      <c r="J384" s="104"/>
      <c r="K384" s="104"/>
    </row>
    <row r="385" spans="1:11" ht="15.95" customHeight="1" x14ac:dyDescent="0.2">
      <c r="A385" s="99">
        <v>46082</v>
      </c>
      <c r="B385" s="100">
        <v>0.60416666666666696</v>
      </c>
      <c r="D385" s="101" t="s">
        <v>196</v>
      </c>
      <c r="E385" s="102" t="s">
        <v>513</v>
      </c>
      <c r="F385" s="103" t="s">
        <v>232</v>
      </c>
      <c r="G385" s="104"/>
      <c r="H385" s="104"/>
      <c r="I385" s="104"/>
      <c r="J385" s="104"/>
      <c r="K385" s="104"/>
    </row>
    <row r="386" spans="1:11" ht="15.95" customHeight="1" x14ac:dyDescent="0.2">
      <c r="A386" s="99">
        <v>46082</v>
      </c>
      <c r="B386" s="100">
        <v>0.3125</v>
      </c>
      <c r="C386" s="107">
        <f>(B387-B386)/TIME(7,0,0)</f>
        <v>1.0000000000000009</v>
      </c>
      <c r="D386" s="101" t="s">
        <v>683</v>
      </c>
      <c r="E386" s="102" t="s">
        <v>561</v>
      </c>
      <c r="F386" s="103" t="s">
        <v>232</v>
      </c>
      <c r="G386" s="104"/>
      <c r="H386" s="104"/>
      <c r="I386" s="104"/>
      <c r="J386" s="104"/>
      <c r="K386" s="104"/>
    </row>
    <row r="387" spans="1:11" ht="15.95" customHeight="1" x14ac:dyDescent="0.2">
      <c r="A387" s="99">
        <v>46082</v>
      </c>
      <c r="B387" s="100">
        <v>0.60416666666666696</v>
      </c>
      <c r="D387" s="101" t="s">
        <v>683</v>
      </c>
      <c r="E387" s="102" t="s">
        <v>561</v>
      </c>
      <c r="F387" s="103" t="s">
        <v>232</v>
      </c>
      <c r="G387" s="104"/>
      <c r="H387" s="104"/>
      <c r="I387" s="104"/>
      <c r="J387" s="104"/>
      <c r="K387" s="104"/>
    </row>
    <row r="388" spans="1:11" ht="15.95" customHeight="1" x14ac:dyDescent="0.2">
      <c r="A388" s="99">
        <v>46082</v>
      </c>
      <c r="B388" s="100">
        <v>0.3125</v>
      </c>
      <c r="C388" s="107">
        <f>(B389-B388)/TIME(7,0,0)</f>
        <v>1.0000000000000009</v>
      </c>
      <c r="D388" s="101" t="s">
        <v>247</v>
      </c>
      <c r="E388" s="102" t="s">
        <v>560</v>
      </c>
      <c r="F388" s="103" t="s">
        <v>781</v>
      </c>
      <c r="G388" s="104"/>
      <c r="H388" s="104"/>
      <c r="I388" s="104"/>
      <c r="J388" s="104"/>
      <c r="K388" s="104"/>
    </row>
    <row r="389" spans="1:11" ht="15.95" customHeight="1" x14ac:dyDescent="0.2">
      <c r="A389" s="99">
        <v>46082</v>
      </c>
      <c r="B389" s="100">
        <v>0.60416666666666696</v>
      </c>
      <c r="D389" s="101" t="s">
        <v>247</v>
      </c>
      <c r="E389" s="102" t="s">
        <v>560</v>
      </c>
      <c r="F389" s="103" t="s">
        <v>781</v>
      </c>
      <c r="G389" s="104"/>
      <c r="H389" s="104"/>
      <c r="I389" s="104"/>
      <c r="J389" s="104"/>
      <c r="K389" s="104"/>
    </row>
    <row r="390" spans="1:11" ht="15.95" customHeight="1" x14ac:dyDescent="0.2">
      <c r="A390" s="99">
        <v>46082</v>
      </c>
      <c r="B390" s="100">
        <v>0.3125</v>
      </c>
      <c r="C390" s="107">
        <f>(B391-B390)/TIME(7,0,0)</f>
        <v>1.0000000000000009</v>
      </c>
      <c r="D390" s="101" t="s">
        <v>107</v>
      </c>
      <c r="E390" s="102" t="s">
        <v>431</v>
      </c>
      <c r="F390" s="103" t="s">
        <v>101</v>
      </c>
      <c r="G390" s="104"/>
      <c r="H390" s="104"/>
      <c r="I390" s="104"/>
      <c r="J390" s="104"/>
      <c r="K390" s="104"/>
    </row>
    <row r="391" spans="1:11" ht="15.95" customHeight="1" x14ac:dyDescent="0.2">
      <c r="A391" s="99">
        <v>46082</v>
      </c>
      <c r="B391" s="100">
        <v>0.60416666666666696</v>
      </c>
      <c r="D391" s="101" t="s">
        <v>107</v>
      </c>
      <c r="E391" s="102" t="s">
        <v>431</v>
      </c>
      <c r="F391" s="103" t="s">
        <v>101</v>
      </c>
      <c r="G391" s="104"/>
      <c r="H391" s="104"/>
      <c r="I391" s="104"/>
      <c r="J391" s="104"/>
      <c r="K391" s="104"/>
    </row>
    <row r="392" spans="1:11" ht="15.95" customHeight="1" x14ac:dyDescent="0.2">
      <c r="A392" s="99">
        <v>46082</v>
      </c>
      <c r="B392" s="100">
        <v>0.3125</v>
      </c>
      <c r="C392" s="107">
        <f>(B393-B392)/TIME(7,0,0)</f>
        <v>1.0000000000000009</v>
      </c>
      <c r="D392" s="101" t="s">
        <v>133</v>
      </c>
      <c r="E392" s="102" t="s">
        <v>454</v>
      </c>
      <c r="F392" s="103" t="s">
        <v>131</v>
      </c>
      <c r="G392" s="104"/>
      <c r="H392" s="104"/>
      <c r="I392" s="104"/>
      <c r="J392" s="104"/>
      <c r="K392" s="104"/>
    </row>
    <row r="393" spans="1:11" ht="15.95" customHeight="1" x14ac:dyDescent="0.2">
      <c r="A393" s="99">
        <v>46082</v>
      </c>
      <c r="B393" s="100">
        <v>0.60416666666666696</v>
      </c>
      <c r="D393" s="101" t="s">
        <v>133</v>
      </c>
      <c r="E393" s="102" t="s">
        <v>454</v>
      </c>
      <c r="F393" s="103" t="s">
        <v>131</v>
      </c>
      <c r="G393" s="104"/>
      <c r="H393" s="104"/>
      <c r="I393" s="104"/>
      <c r="J393" s="104"/>
      <c r="K393" s="104"/>
    </row>
    <row r="394" spans="1:11" ht="15.95" customHeight="1" x14ac:dyDescent="0.2">
      <c r="A394" s="99">
        <v>46082</v>
      </c>
      <c r="B394" s="100">
        <v>0.3125</v>
      </c>
      <c r="C394" s="107">
        <f>(B395-B394)/TIME(7,0,0)</f>
        <v>1.0000000000000009</v>
      </c>
      <c r="D394" s="101" t="s">
        <v>279</v>
      </c>
      <c r="E394" s="102" t="s">
        <v>587</v>
      </c>
      <c r="F394" s="103" t="s">
        <v>275</v>
      </c>
      <c r="G394" s="104"/>
      <c r="H394" s="104"/>
      <c r="I394" s="104"/>
      <c r="J394" s="104"/>
      <c r="K394" s="104"/>
    </row>
    <row r="395" spans="1:11" ht="15.95" customHeight="1" x14ac:dyDescent="0.2">
      <c r="A395" s="99">
        <v>46082</v>
      </c>
      <c r="B395" s="100">
        <v>0.60416666666666696</v>
      </c>
      <c r="D395" s="101" t="s">
        <v>279</v>
      </c>
      <c r="E395" s="102" t="s">
        <v>587</v>
      </c>
      <c r="F395" s="103" t="s">
        <v>275</v>
      </c>
      <c r="G395" s="104"/>
      <c r="H395" s="104"/>
      <c r="I395" s="104"/>
      <c r="J395" s="104"/>
      <c r="K395" s="104"/>
    </row>
    <row r="396" spans="1:11" ht="15.95" customHeight="1" x14ac:dyDescent="0.2">
      <c r="A396" s="99">
        <v>46082</v>
      </c>
      <c r="B396" s="100">
        <v>0.10833333333333334</v>
      </c>
      <c r="C396" s="108"/>
      <c r="D396" s="101" t="s">
        <v>279</v>
      </c>
      <c r="E396" s="102" t="s">
        <v>587</v>
      </c>
      <c r="F396" s="103" t="s">
        <v>279</v>
      </c>
      <c r="G396" s="104"/>
      <c r="H396" s="104"/>
      <c r="I396" s="104"/>
      <c r="J396" s="104"/>
      <c r="K396" s="104"/>
    </row>
    <row r="397" spans="1:11" ht="15.95" customHeight="1" x14ac:dyDescent="0.2">
      <c r="A397" s="99">
        <v>46081</v>
      </c>
      <c r="B397" s="100">
        <v>0.89444444444444449</v>
      </c>
      <c r="C397" s="108"/>
      <c r="D397" s="101" t="s">
        <v>279</v>
      </c>
      <c r="E397" s="102" t="s">
        <v>587</v>
      </c>
      <c r="F397" s="103" t="s">
        <v>279</v>
      </c>
      <c r="G397" s="104"/>
      <c r="H397" s="104"/>
      <c r="I397" s="104"/>
      <c r="J397" s="104"/>
      <c r="K397" s="104"/>
    </row>
    <row r="398" spans="1:11" ht="15.95" customHeight="1" x14ac:dyDescent="0.2">
      <c r="A398" s="99">
        <v>46082</v>
      </c>
      <c r="B398" s="100">
        <v>0.20833333333333301</v>
      </c>
      <c r="C398" s="108"/>
      <c r="D398" s="101" t="s">
        <v>294</v>
      </c>
      <c r="E398" s="102" t="s">
        <v>603</v>
      </c>
      <c r="F398" s="103" t="s">
        <v>294</v>
      </c>
      <c r="G398" s="104"/>
      <c r="H398" s="104"/>
      <c r="I398" s="104"/>
      <c r="J398" s="104"/>
      <c r="K398" s="104"/>
    </row>
    <row r="399" spans="1:11" ht="15.95" customHeight="1" x14ac:dyDescent="0.2">
      <c r="A399" s="99">
        <v>46081</v>
      </c>
      <c r="B399" s="100">
        <v>0.91666666666666663</v>
      </c>
      <c r="C399" s="108">
        <f>IF(B398&lt;B399,B398+1-B399,B398-B399)/TIME(7,0,0)</f>
        <v>0.999999999999999</v>
      </c>
      <c r="D399" s="101" t="s">
        <v>294</v>
      </c>
      <c r="E399" s="102" t="s">
        <v>603</v>
      </c>
      <c r="F399" s="103" t="s">
        <v>294</v>
      </c>
      <c r="G399" s="104"/>
      <c r="H399" s="104"/>
      <c r="I399" s="104"/>
      <c r="J399" s="104"/>
      <c r="K399" s="104"/>
    </row>
    <row r="400" spans="1:11" ht="15.95" customHeight="1" x14ac:dyDescent="0.2">
      <c r="A400" s="99">
        <v>46082</v>
      </c>
      <c r="B400" s="100">
        <v>0.3125</v>
      </c>
      <c r="C400" s="107">
        <f>(B401-B400)/TIME(7,0,0)</f>
        <v>1.0000000000000009</v>
      </c>
      <c r="D400" s="101" t="s">
        <v>9</v>
      </c>
      <c r="E400" s="102" t="s">
        <v>332</v>
      </c>
      <c r="F400" s="103" t="s">
        <v>672</v>
      </c>
      <c r="G400" s="104"/>
      <c r="H400" s="104"/>
      <c r="I400" s="104"/>
      <c r="J400" s="104"/>
      <c r="K400" s="104"/>
    </row>
    <row r="401" spans="1:11" ht="15.95" customHeight="1" x14ac:dyDescent="0.2">
      <c r="A401" s="99">
        <v>46082</v>
      </c>
      <c r="B401" s="100">
        <v>0.60416666666666696</v>
      </c>
      <c r="D401" s="101" t="s">
        <v>9</v>
      </c>
      <c r="E401" s="102" t="s">
        <v>332</v>
      </c>
      <c r="F401" s="103" t="s">
        <v>672</v>
      </c>
      <c r="G401" s="104"/>
      <c r="H401" s="104"/>
      <c r="I401" s="104"/>
      <c r="J401" s="104"/>
      <c r="K401" s="104"/>
    </row>
    <row r="402" spans="1:11" ht="15.95" customHeight="1" x14ac:dyDescent="0.2">
      <c r="A402" s="99">
        <v>46082</v>
      </c>
      <c r="B402" s="100">
        <v>0.34375</v>
      </c>
      <c r="C402" s="107">
        <v>0.89</v>
      </c>
      <c r="D402" s="101" t="s">
        <v>779</v>
      </c>
      <c r="E402" s="102" t="s">
        <v>460</v>
      </c>
      <c r="F402" s="103" t="s">
        <v>138</v>
      </c>
      <c r="G402" s="104"/>
      <c r="H402" s="104"/>
      <c r="I402" s="104"/>
      <c r="J402" s="104"/>
      <c r="K402" s="104"/>
    </row>
    <row r="403" spans="1:11" ht="15.95" customHeight="1" x14ac:dyDescent="0.2">
      <c r="A403" s="99">
        <v>46082</v>
      </c>
      <c r="B403" s="100">
        <v>0.60416666666666696</v>
      </c>
      <c r="D403" s="101" t="s">
        <v>779</v>
      </c>
      <c r="E403" s="102" t="s">
        <v>460</v>
      </c>
      <c r="F403" s="103" t="s">
        <v>138</v>
      </c>
      <c r="G403" s="104"/>
      <c r="H403" s="104"/>
      <c r="I403" s="104"/>
      <c r="J403" s="104"/>
      <c r="K403" s="104"/>
    </row>
    <row r="404" spans="1:11" ht="15.95" customHeight="1" x14ac:dyDescent="0.2">
      <c r="A404" s="99">
        <v>46082</v>
      </c>
      <c r="B404" s="100">
        <v>0.3125</v>
      </c>
      <c r="C404" s="107">
        <f>(B405-B404)/TIME(7,0,0)</f>
        <v>1.0000000000000009</v>
      </c>
      <c r="D404" s="101" t="s">
        <v>695</v>
      </c>
      <c r="E404" s="102" t="s">
        <v>548</v>
      </c>
      <c r="F404" s="103" t="s">
        <v>232</v>
      </c>
      <c r="G404" s="104"/>
      <c r="H404" s="104"/>
      <c r="I404" s="104"/>
      <c r="J404" s="104"/>
      <c r="K404" s="104"/>
    </row>
    <row r="405" spans="1:11" ht="15.95" customHeight="1" x14ac:dyDescent="0.2">
      <c r="A405" s="99">
        <v>46082</v>
      </c>
      <c r="B405" s="100">
        <v>0.60416666666666696</v>
      </c>
      <c r="D405" s="101" t="s">
        <v>695</v>
      </c>
      <c r="E405" s="102" t="s">
        <v>548</v>
      </c>
      <c r="F405" s="103" t="s">
        <v>232</v>
      </c>
      <c r="G405" s="104"/>
      <c r="H405" s="104"/>
      <c r="I405" s="104"/>
      <c r="J405" s="104"/>
      <c r="K405" s="104"/>
    </row>
    <row r="406" spans="1:11" ht="15.95" customHeight="1" x14ac:dyDescent="0.2">
      <c r="A406" s="99">
        <v>46082</v>
      </c>
      <c r="B406" s="100">
        <v>0.3125</v>
      </c>
      <c r="C406" s="107">
        <f>(B407-B406)/TIME(7,0,0)</f>
        <v>1.0000000000000009</v>
      </c>
      <c r="D406" s="101" t="s">
        <v>20</v>
      </c>
      <c r="E406" s="102" t="s">
        <v>343</v>
      </c>
      <c r="F406" s="103" t="s">
        <v>674</v>
      </c>
      <c r="G406" s="104"/>
      <c r="H406" s="104"/>
      <c r="I406" s="104"/>
      <c r="J406" s="104"/>
      <c r="K406" s="104"/>
    </row>
    <row r="407" spans="1:11" ht="15.95" customHeight="1" x14ac:dyDescent="0.2">
      <c r="A407" s="99">
        <v>46082</v>
      </c>
      <c r="B407" s="100">
        <v>0.60416666666666696</v>
      </c>
      <c r="D407" s="101" t="s">
        <v>20</v>
      </c>
      <c r="E407" s="102" t="s">
        <v>343</v>
      </c>
      <c r="F407" s="103" t="s">
        <v>674</v>
      </c>
      <c r="G407" s="104"/>
      <c r="H407" s="104"/>
      <c r="I407" s="104"/>
      <c r="J407" s="104"/>
      <c r="K407" s="104"/>
    </row>
    <row r="408" spans="1:11" ht="15.95" customHeight="1" x14ac:dyDescent="0.2">
      <c r="A408" s="99">
        <v>46082</v>
      </c>
      <c r="B408" s="100">
        <v>0.3125</v>
      </c>
      <c r="C408" s="107">
        <f>(B409-B408)/TIME(7,0,0)</f>
        <v>1.0000000000000009</v>
      </c>
      <c r="D408" s="101" t="s">
        <v>260</v>
      </c>
      <c r="E408" s="102" t="s">
        <v>571</v>
      </c>
      <c r="F408" s="103" t="s">
        <v>224</v>
      </c>
      <c r="G408" s="104"/>
      <c r="H408" s="104"/>
      <c r="I408" s="104"/>
      <c r="J408" s="104"/>
      <c r="K408" s="104"/>
    </row>
    <row r="409" spans="1:11" ht="15.95" customHeight="1" x14ac:dyDescent="0.2">
      <c r="A409" s="99">
        <v>46082</v>
      </c>
      <c r="B409" s="100">
        <v>0.60416666666666696</v>
      </c>
      <c r="D409" s="101" t="s">
        <v>260</v>
      </c>
      <c r="E409" s="102" t="s">
        <v>571</v>
      </c>
      <c r="F409" s="103" t="s">
        <v>224</v>
      </c>
      <c r="G409" s="104"/>
      <c r="H409" s="104"/>
      <c r="I409" s="104"/>
      <c r="J409" s="104"/>
      <c r="K409" s="104"/>
    </row>
    <row r="410" spans="1:11" ht="15.95" customHeight="1" x14ac:dyDescent="0.2">
      <c r="A410" s="99">
        <v>46082</v>
      </c>
      <c r="B410" s="100">
        <v>0.3125</v>
      </c>
      <c r="C410" s="107">
        <f>(B411-B410)/TIME(7,0,0)</f>
        <v>1.0000000000000009</v>
      </c>
      <c r="D410" s="101" t="s">
        <v>734</v>
      </c>
      <c r="E410" s="102" t="s">
        <v>424</v>
      </c>
      <c r="F410" s="103" t="s">
        <v>674</v>
      </c>
      <c r="G410" s="104"/>
      <c r="H410" s="104"/>
      <c r="I410" s="104"/>
      <c r="J410" s="104"/>
      <c r="K410" s="104"/>
    </row>
    <row r="411" spans="1:11" ht="15.95" customHeight="1" x14ac:dyDescent="0.2">
      <c r="A411" s="99">
        <v>46082</v>
      </c>
      <c r="B411" s="100">
        <v>0.60416666666666696</v>
      </c>
      <c r="D411" s="101" t="s">
        <v>734</v>
      </c>
      <c r="E411" s="102" t="s">
        <v>424</v>
      </c>
      <c r="F411" s="103" t="s">
        <v>674</v>
      </c>
      <c r="G411" s="104"/>
      <c r="H411" s="104"/>
      <c r="I411" s="104"/>
      <c r="J411" s="104"/>
      <c r="K411" s="104"/>
    </row>
    <row r="412" spans="1:11" ht="15.95" customHeight="1" x14ac:dyDescent="0.2">
      <c r="A412" s="99">
        <v>46082</v>
      </c>
      <c r="B412" s="100">
        <v>0.3125</v>
      </c>
      <c r="C412" s="107">
        <f>(B413-B412)/TIME(7,0,0)</f>
        <v>1.0000000000000009</v>
      </c>
      <c r="D412" s="101" t="s">
        <v>682</v>
      </c>
      <c r="E412" s="102" t="s">
        <v>436</v>
      </c>
      <c r="F412" s="103" t="s">
        <v>101</v>
      </c>
      <c r="G412" s="104"/>
      <c r="H412" s="104"/>
      <c r="I412" s="104"/>
      <c r="J412" s="104"/>
      <c r="K412" s="104"/>
    </row>
    <row r="413" spans="1:11" ht="15.95" customHeight="1" x14ac:dyDescent="0.2">
      <c r="A413" s="99">
        <v>46082</v>
      </c>
      <c r="B413" s="100">
        <v>0.60416666666666696</v>
      </c>
      <c r="D413" s="101" t="s">
        <v>682</v>
      </c>
      <c r="E413" s="102" t="s">
        <v>436</v>
      </c>
      <c r="F413" s="103" t="s">
        <v>101</v>
      </c>
      <c r="G413" s="104"/>
      <c r="H413" s="104"/>
      <c r="I413" s="104"/>
      <c r="J413" s="104"/>
      <c r="K413" s="104"/>
    </row>
    <row r="414" spans="1:11" ht="15.95" customHeight="1" x14ac:dyDescent="0.2">
      <c r="A414" s="99">
        <v>46082</v>
      </c>
      <c r="B414" s="100">
        <v>0.3125</v>
      </c>
      <c r="C414" s="107">
        <f>(B415-B414)/TIME(7,0,0)</f>
        <v>1.0000000000000009</v>
      </c>
      <c r="D414" s="101" t="s">
        <v>741</v>
      </c>
      <c r="E414" s="102" t="s">
        <v>500</v>
      </c>
      <c r="F414" s="103"/>
      <c r="G414" s="104"/>
      <c r="H414" s="104"/>
      <c r="I414" s="104"/>
      <c r="J414" s="104"/>
      <c r="K414" s="104"/>
    </row>
    <row r="415" spans="1:11" ht="15.95" customHeight="1" x14ac:dyDescent="0.2">
      <c r="A415" s="99">
        <v>46082</v>
      </c>
      <c r="B415" s="100">
        <v>0.60416666666666696</v>
      </c>
      <c r="D415" s="101" t="s">
        <v>741</v>
      </c>
      <c r="E415" s="102" t="s">
        <v>500</v>
      </c>
      <c r="F415" s="103"/>
      <c r="G415" s="104"/>
      <c r="H415" s="104"/>
      <c r="I415" s="104"/>
      <c r="J415" s="104"/>
      <c r="K415" s="104"/>
    </row>
    <row r="416" spans="1:11" ht="15.95" customHeight="1" x14ac:dyDescent="0.2">
      <c r="A416" s="99">
        <v>46082</v>
      </c>
      <c r="B416" s="100">
        <v>0.3125</v>
      </c>
      <c r="C416" s="107">
        <f>(B417-B416)/TIME(7,0,0)</f>
        <v>1.0000000000000009</v>
      </c>
      <c r="D416" s="101" t="s">
        <v>116</v>
      </c>
      <c r="E416" s="102" t="s">
        <v>440</v>
      </c>
      <c r="F416" s="103" t="s">
        <v>778</v>
      </c>
      <c r="G416" s="104"/>
      <c r="H416" s="104"/>
      <c r="I416" s="104"/>
      <c r="J416" s="104"/>
      <c r="K416" s="104"/>
    </row>
    <row r="417" spans="1:11" ht="15.95" customHeight="1" x14ac:dyDescent="0.2">
      <c r="A417" s="99">
        <v>46082</v>
      </c>
      <c r="B417" s="100">
        <v>0.60416666666666696</v>
      </c>
      <c r="D417" s="101" t="s">
        <v>116</v>
      </c>
      <c r="E417" s="102" t="s">
        <v>440</v>
      </c>
      <c r="F417" s="103" t="s">
        <v>778</v>
      </c>
      <c r="G417" s="104"/>
      <c r="H417" s="104"/>
      <c r="I417" s="104"/>
      <c r="J417" s="104"/>
      <c r="K417" s="104"/>
    </row>
    <row r="418" spans="1:11" ht="15.95" customHeight="1" x14ac:dyDescent="0.2">
      <c r="A418" s="99">
        <v>46082</v>
      </c>
      <c r="B418" s="100">
        <v>0.3125</v>
      </c>
      <c r="C418" s="107">
        <f>(B419-B418)/TIME(7,0,0)</f>
        <v>1.0000000000000009</v>
      </c>
      <c r="D418" s="101" t="s">
        <v>71</v>
      </c>
      <c r="E418" s="102" t="s">
        <v>393</v>
      </c>
      <c r="F418" s="103" t="s">
        <v>674</v>
      </c>
      <c r="G418" s="104"/>
      <c r="H418" s="104"/>
      <c r="I418" s="104"/>
      <c r="J418" s="104"/>
      <c r="K418" s="104"/>
    </row>
    <row r="419" spans="1:11" ht="15.95" customHeight="1" x14ac:dyDescent="0.2">
      <c r="A419" s="99">
        <v>46082</v>
      </c>
      <c r="B419" s="100">
        <v>0.60416666666666696</v>
      </c>
      <c r="D419" s="101" t="s">
        <v>71</v>
      </c>
      <c r="E419" s="102" t="s">
        <v>393</v>
      </c>
      <c r="F419" s="103" t="s">
        <v>674</v>
      </c>
      <c r="G419" s="104"/>
      <c r="H419" s="104"/>
      <c r="I419" s="104"/>
      <c r="J419" s="104"/>
      <c r="K419" s="104"/>
    </row>
    <row r="420" spans="1:11" ht="15.95" customHeight="1" x14ac:dyDescent="0.2">
      <c r="A420" s="99">
        <v>46082</v>
      </c>
      <c r="B420" s="100">
        <v>0.3125</v>
      </c>
      <c r="C420" s="107">
        <f>(B421-B420)/TIME(7,0,0)</f>
        <v>1.0000000000000009</v>
      </c>
      <c r="D420" s="101" t="s">
        <v>98</v>
      </c>
      <c r="E420" s="102" t="s">
        <v>423</v>
      </c>
      <c r="F420" s="103" t="s">
        <v>674</v>
      </c>
      <c r="G420" s="104"/>
      <c r="H420" s="104"/>
      <c r="I420" s="104"/>
      <c r="J420" s="104"/>
      <c r="K420" s="104"/>
    </row>
    <row r="421" spans="1:11" ht="15.95" customHeight="1" x14ac:dyDescent="0.2">
      <c r="A421" s="99">
        <v>46082</v>
      </c>
      <c r="B421" s="100">
        <v>0.60416666666666696</v>
      </c>
      <c r="D421" s="101" t="s">
        <v>98</v>
      </c>
      <c r="E421" s="102" t="s">
        <v>423</v>
      </c>
      <c r="F421" s="103" t="s">
        <v>674</v>
      </c>
      <c r="G421" s="104"/>
      <c r="H421" s="104"/>
      <c r="I421" s="104"/>
      <c r="J421" s="104"/>
      <c r="K421" s="104"/>
    </row>
    <row r="422" spans="1:11" ht="15.95" customHeight="1" x14ac:dyDescent="0.2">
      <c r="A422" s="99">
        <v>46082</v>
      </c>
      <c r="B422" s="100">
        <v>0.20833333333333301</v>
      </c>
      <c r="C422" s="108"/>
      <c r="D422" s="101" t="s">
        <v>313</v>
      </c>
      <c r="E422" s="102" t="s">
        <v>624</v>
      </c>
      <c r="F422" s="103" t="s">
        <v>313</v>
      </c>
      <c r="G422" s="104"/>
      <c r="H422" s="104"/>
      <c r="I422" s="104"/>
      <c r="J422" s="104"/>
      <c r="K422" s="104"/>
    </row>
    <row r="423" spans="1:11" ht="15.95" customHeight="1" x14ac:dyDescent="0.2">
      <c r="A423" s="99">
        <v>46081</v>
      </c>
      <c r="B423" s="100">
        <v>0.91666666666666663</v>
      </c>
      <c r="C423" s="108">
        <f>IF(B422&lt;B423,B422+1-B423,B422-B423)/TIME(7,0,0)</f>
        <v>0.999999999999999</v>
      </c>
      <c r="D423" s="101" t="s">
        <v>313</v>
      </c>
      <c r="E423" s="102" t="s">
        <v>624</v>
      </c>
      <c r="F423" s="103" t="s">
        <v>313</v>
      </c>
      <c r="G423" s="104"/>
      <c r="H423" s="104"/>
      <c r="I423" s="104"/>
      <c r="J423" s="104"/>
      <c r="K423" s="104"/>
    </row>
    <row r="424" spans="1:11" ht="15.95" customHeight="1" x14ac:dyDescent="0.2">
      <c r="A424" s="99">
        <v>46082</v>
      </c>
      <c r="B424" s="100">
        <v>0.20833333333333301</v>
      </c>
      <c r="C424" s="108"/>
      <c r="D424" s="101" t="s">
        <v>305</v>
      </c>
      <c r="E424" s="102" t="s">
        <v>616</v>
      </c>
      <c r="F424" s="103" t="s">
        <v>305</v>
      </c>
      <c r="G424" s="104"/>
      <c r="H424" s="104"/>
      <c r="I424" s="104"/>
      <c r="J424" s="104"/>
      <c r="K424" s="104"/>
    </row>
    <row r="425" spans="1:11" ht="15.95" customHeight="1" x14ac:dyDescent="0.2">
      <c r="A425" s="99">
        <v>46081</v>
      </c>
      <c r="B425" s="100">
        <v>0.91666666666666663</v>
      </c>
      <c r="C425" s="108">
        <f>IF(B424&lt;B425,B424+1-B425,B424-B425)/TIME(7,0,0)</f>
        <v>0.999999999999999</v>
      </c>
      <c r="D425" s="101" t="s">
        <v>305</v>
      </c>
      <c r="E425" s="102" t="s">
        <v>616</v>
      </c>
      <c r="F425" s="103" t="s">
        <v>305</v>
      </c>
      <c r="G425" s="104"/>
      <c r="H425" s="104"/>
      <c r="I425" s="104"/>
      <c r="J425" s="104"/>
      <c r="K425" s="104"/>
    </row>
    <row r="426" spans="1:11" ht="15.95" customHeight="1" x14ac:dyDescent="0.2">
      <c r="A426" s="99">
        <v>46082</v>
      </c>
      <c r="B426" s="100">
        <v>0.3125</v>
      </c>
      <c r="C426" s="107">
        <f>(B427-B426)/TIME(7,0,0)</f>
        <v>1.0000000000000009</v>
      </c>
      <c r="D426" s="101" t="s">
        <v>183</v>
      </c>
      <c r="E426" s="102" t="s">
        <v>499</v>
      </c>
      <c r="F426" s="103" t="s">
        <v>180</v>
      </c>
      <c r="G426" s="104"/>
      <c r="H426" s="104"/>
      <c r="I426" s="104"/>
      <c r="J426" s="104"/>
      <c r="K426" s="104"/>
    </row>
    <row r="427" spans="1:11" ht="15.95" customHeight="1" x14ac:dyDescent="0.2">
      <c r="A427" s="99">
        <v>46082</v>
      </c>
      <c r="B427" s="100">
        <v>0.60416666666666696</v>
      </c>
      <c r="D427" s="101" t="s">
        <v>183</v>
      </c>
      <c r="E427" s="102" t="s">
        <v>499</v>
      </c>
      <c r="F427" s="103" t="s">
        <v>180</v>
      </c>
      <c r="G427" s="104"/>
      <c r="H427" s="104"/>
      <c r="I427" s="104"/>
      <c r="J427" s="104"/>
      <c r="K427" s="104"/>
    </row>
    <row r="428" spans="1:11" ht="15.95" customHeight="1" x14ac:dyDescent="0.2">
      <c r="A428" s="99">
        <v>46082</v>
      </c>
      <c r="B428" s="100">
        <v>0.3125</v>
      </c>
      <c r="C428" s="107">
        <f>(B429-B428)/TIME(7,0,0)</f>
        <v>1.0000000000000009</v>
      </c>
      <c r="D428" s="101" t="s">
        <v>263</v>
      </c>
      <c r="E428" s="102" t="s">
        <v>573</v>
      </c>
      <c r="F428" s="103" t="s">
        <v>766</v>
      </c>
      <c r="G428" s="104"/>
      <c r="H428" s="104"/>
      <c r="I428" s="104"/>
      <c r="J428" s="104"/>
      <c r="K428" s="104"/>
    </row>
    <row r="429" spans="1:11" ht="15.95" customHeight="1" x14ac:dyDescent="0.2">
      <c r="A429" s="99">
        <v>46082</v>
      </c>
      <c r="B429" s="100">
        <v>0.60416666666666696</v>
      </c>
      <c r="D429" s="101" t="s">
        <v>263</v>
      </c>
      <c r="E429" s="102" t="s">
        <v>573</v>
      </c>
      <c r="F429" s="103" t="s">
        <v>766</v>
      </c>
      <c r="G429" s="104"/>
      <c r="H429" s="104"/>
      <c r="I429" s="104"/>
      <c r="J429" s="104"/>
      <c r="K429" s="104"/>
    </row>
    <row r="430" spans="1:11" ht="15.95" customHeight="1" x14ac:dyDescent="0.2">
      <c r="A430" s="99">
        <v>46082</v>
      </c>
      <c r="B430" s="100">
        <v>0.3125</v>
      </c>
      <c r="C430" s="107">
        <f>(B431-B430)/TIME(7,0,0)</f>
        <v>1.0000000000000009</v>
      </c>
      <c r="D430" s="101" t="s">
        <v>283</v>
      </c>
      <c r="E430" s="102" t="s">
        <v>591</v>
      </c>
      <c r="F430" s="103" t="s">
        <v>155</v>
      </c>
      <c r="G430" s="104"/>
      <c r="H430" s="104"/>
      <c r="I430" s="104"/>
      <c r="J430" s="104"/>
      <c r="K430" s="104"/>
    </row>
    <row r="431" spans="1:11" ht="15.95" customHeight="1" x14ac:dyDescent="0.2">
      <c r="A431" s="99">
        <v>46082</v>
      </c>
      <c r="B431" s="100">
        <v>0.60416666666666696</v>
      </c>
      <c r="D431" s="101" t="s">
        <v>283</v>
      </c>
      <c r="E431" s="102" t="s">
        <v>591</v>
      </c>
      <c r="F431" s="103" t="s">
        <v>155</v>
      </c>
      <c r="G431" s="104"/>
      <c r="H431" s="104"/>
      <c r="I431" s="104"/>
      <c r="J431" s="104"/>
      <c r="K431" s="104"/>
    </row>
    <row r="432" spans="1:11" ht="15.95" customHeight="1" x14ac:dyDescent="0.2">
      <c r="A432" s="99">
        <v>46082</v>
      </c>
      <c r="B432" s="100">
        <v>0.3125</v>
      </c>
      <c r="C432" s="107">
        <v>1</v>
      </c>
      <c r="D432" s="101" t="s">
        <v>700</v>
      </c>
      <c r="E432" s="102" t="s">
        <v>471</v>
      </c>
      <c r="F432" s="103" t="s">
        <v>668</v>
      </c>
      <c r="G432" s="104"/>
      <c r="H432" s="104"/>
      <c r="I432" s="104"/>
      <c r="J432" s="104"/>
      <c r="K432" s="104"/>
    </row>
    <row r="433" spans="1:11" ht="15.95" customHeight="1" x14ac:dyDescent="0.2">
      <c r="A433" s="99">
        <v>46082</v>
      </c>
      <c r="B433" s="100">
        <v>0.3125</v>
      </c>
      <c r="C433" s="107">
        <f>(B434-B433)/TIME(7,0,0)</f>
        <v>1.0000000000000009</v>
      </c>
      <c r="D433" s="101" t="s">
        <v>80</v>
      </c>
      <c r="E433" s="102" t="s">
        <v>402</v>
      </c>
      <c r="F433" s="103" t="s">
        <v>68</v>
      </c>
      <c r="G433" s="104"/>
      <c r="H433" s="104"/>
      <c r="I433" s="104"/>
      <c r="J433" s="104"/>
      <c r="K433" s="104"/>
    </row>
    <row r="434" spans="1:11" ht="15.95" customHeight="1" x14ac:dyDescent="0.2">
      <c r="A434" s="99">
        <v>46082</v>
      </c>
      <c r="B434" s="100">
        <v>0.60416666666666696</v>
      </c>
      <c r="D434" s="101" t="s">
        <v>80</v>
      </c>
      <c r="E434" s="102" t="s">
        <v>402</v>
      </c>
      <c r="F434" s="103" t="s">
        <v>68</v>
      </c>
      <c r="G434" s="104"/>
      <c r="H434" s="104"/>
      <c r="I434" s="104"/>
      <c r="J434" s="104"/>
      <c r="K434" s="104"/>
    </row>
    <row r="435" spans="1:11" ht="15.95" customHeight="1" x14ac:dyDescent="0.2">
      <c r="A435" s="99">
        <v>46082</v>
      </c>
      <c r="B435" s="100">
        <v>0.3125</v>
      </c>
      <c r="C435" s="107">
        <f>(B436-B435)/TIME(7,0,0)</f>
        <v>1.0000000000000009</v>
      </c>
      <c r="D435" s="101" t="s">
        <v>204</v>
      </c>
      <c r="E435" s="102" t="s">
        <v>520</v>
      </c>
      <c r="F435" s="103" t="s">
        <v>199</v>
      </c>
      <c r="G435" s="104"/>
      <c r="H435" s="104"/>
      <c r="I435" s="104"/>
      <c r="J435" s="104"/>
      <c r="K435" s="104"/>
    </row>
    <row r="436" spans="1:11" ht="15.95" customHeight="1" x14ac:dyDescent="0.2">
      <c r="A436" s="99">
        <v>46082</v>
      </c>
      <c r="B436" s="100">
        <v>0.60416666666666696</v>
      </c>
      <c r="D436" s="101" t="s">
        <v>204</v>
      </c>
      <c r="E436" s="102" t="s">
        <v>520</v>
      </c>
      <c r="F436" s="103" t="s">
        <v>199</v>
      </c>
      <c r="G436" s="104"/>
      <c r="H436" s="104"/>
      <c r="I436" s="104"/>
      <c r="J436" s="104"/>
      <c r="K436" s="104"/>
    </row>
    <row r="437" spans="1:11" ht="15.95" customHeight="1" x14ac:dyDescent="0.2">
      <c r="A437" s="99">
        <v>46082</v>
      </c>
      <c r="B437" s="100">
        <v>0.3125</v>
      </c>
      <c r="C437" s="107">
        <f>(B438-B437)/TIME(7,0,0)</f>
        <v>1.0000000000000009</v>
      </c>
      <c r="D437" s="101" t="s">
        <v>72</v>
      </c>
      <c r="E437" s="102" t="s">
        <v>394</v>
      </c>
      <c r="F437" s="103" t="s">
        <v>767</v>
      </c>
      <c r="G437" s="104"/>
      <c r="H437" s="104"/>
      <c r="I437" s="104"/>
      <c r="J437" s="104"/>
      <c r="K437" s="104"/>
    </row>
    <row r="438" spans="1:11" ht="15.95" customHeight="1" x14ac:dyDescent="0.2">
      <c r="A438" s="99">
        <v>46082</v>
      </c>
      <c r="B438" s="100">
        <v>0.60416666666666696</v>
      </c>
      <c r="D438" s="101" t="s">
        <v>72</v>
      </c>
      <c r="E438" s="102" t="s">
        <v>394</v>
      </c>
      <c r="F438" s="103" t="s">
        <v>767</v>
      </c>
      <c r="G438" s="104"/>
      <c r="H438" s="104"/>
      <c r="I438" s="104"/>
      <c r="J438" s="104"/>
      <c r="K438" s="104"/>
    </row>
    <row r="439" spans="1:11" ht="15.95" customHeight="1" x14ac:dyDescent="0.2">
      <c r="A439" s="99">
        <v>46082</v>
      </c>
      <c r="B439" s="100">
        <v>0.3125</v>
      </c>
      <c r="C439" s="107">
        <f>(B440-B439)/TIME(7,0,0)</f>
        <v>1.0000000000000009</v>
      </c>
      <c r="D439" s="101" t="s">
        <v>70</v>
      </c>
      <c r="E439" s="102" t="s">
        <v>392</v>
      </c>
      <c r="F439" s="103" t="s">
        <v>767</v>
      </c>
      <c r="G439" s="104"/>
      <c r="H439" s="104"/>
      <c r="I439" s="104"/>
      <c r="J439" s="104"/>
      <c r="K439" s="104"/>
    </row>
    <row r="440" spans="1:11" ht="15.95" customHeight="1" x14ac:dyDescent="0.2">
      <c r="A440" s="99">
        <v>46082</v>
      </c>
      <c r="B440" s="100">
        <v>0.60416666666666696</v>
      </c>
      <c r="D440" s="101" t="s">
        <v>70</v>
      </c>
      <c r="E440" s="102" t="s">
        <v>392</v>
      </c>
      <c r="F440" s="103" t="s">
        <v>767</v>
      </c>
      <c r="G440" s="104"/>
      <c r="H440" s="104"/>
      <c r="I440" s="104"/>
      <c r="J440" s="104"/>
      <c r="K440" s="104"/>
    </row>
    <row r="441" spans="1:11" ht="15.95" customHeight="1" x14ac:dyDescent="0.2">
      <c r="A441" s="99">
        <v>46082</v>
      </c>
      <c r="B441" s="100">
        <v>0.3125</v>
      </c>
      <c r="C441" s="107">
        <f>(B442-B441)/TIME(7,0,0)</f>
        <v>1.0000000000000009</v>
      </c>
      <c r="D441" s="101" t="s">
        <v>132</v>
      </c>
      <c r="E441" s="102" t="s">
        <v>453</v>
      </c>
      <c r="F441" s="103" t="s">
        <v>131</v>
      </c>
      <c r="G441" s="104"/>
      <c r="H441" s="104"/>
      <c r="I441" s="104"/>
      <c r="J441" s="104"/>
      <c r="K441" s="104"/>
    </row>
    <row r="442" spans="1:11" ht="15.95" customHeight="1" x14ac:dyDescent="0.2">
      <c r="A442" s="99">
        <v>46082</v>
      </c>
      <c r="B442" s="100">
        <v>0.60416666666666696</v>
      </c>
      <c r="D442" s="101" t="s">
        <v>132</v>
      </c>
      <c r="E442" s="102" t="s">
        <v>453</v>
      </c>
      <c r="F442" s="103" t="s">
        <v>131</v>
      </c>
      <c r="G442" s="104"/>
      <c r="H442" s="104"/>
      <c r="I442" s="104"/>
      <c r="J442" s="104"/>
      <c r="K442" s="104"/>
    </row>
    <row r="443" spans="1:11" ht="15.95" customHeight="1" x14ac:dyDescent="0.2">
      <c r="A443" s="99">
        <v>46082</v>
      </c>
      <c r="B443" s="100">
        <v>0.3125</v>
      </c>
      <c r="C443" s="107">
        <f>(B444-B443)/TIME(7,0,0)</f>
        <v>1.0000000000000009</v>
      </c>
      <c r="D443" s="101" t="s">
        <v>285</v>
      </c>
      <c r="E443" s="102" t="s">
        <v>593</v>
      </c>
      <c r="F443" s="103" t="s">
        <v>199</v>
      </c>
      <c r="G443" s="104"/>
      <c r="H443" s="104"/>
      <c r="I443" s="104"/>
      <c r="J443" s="104"/>
      <c r="K443" s="104"/>
    </row>
    <row r="444" spans="1:11" ht="15.95" customHeight="1" x14ac:dyDescent="0.2">
      <c r="A444" s="99">
        <v>46082</v>
      </c>
      <c r="B444" s="100">
        <v>0.60416666666666696</v>
      </c>
      <c r="D444" s="101" t="s">
        <v>285</v>
      </c>
      <c r="E444" s="102" t="s">
        <v>593</v>
      </c>
      <c r="F444" s="103" t="s">
        <v>199</v>
      </c>
      <c r="G444" s="104"/>
      <c r="H444" s="104"/>
      <c r="I444" s="104"/>
      <c r="J444" s="104"/>
      <c r="K444" s="104"/>
    </row>
    <row r="445" spans="1:11" x14ac:dyDescent="0.2">
      <c r="A445" s="99">
        <v>46082</v>
      </c>
      <c r="B445" s="100">
        <v>0.20833333333333301</v>
      </c>
      <c r="C445" s="108"/>
      <c r="D445" s="101" t="s">
        <v>323</v>
      </c>
      <c r="E445" s="102" t="s">
        <v>634</v>
      </c>
      <c r="F445" s="103" t="s">
        <v>323</v>
      </c>
      <c r="G445" s="104"/>
      <c r="H445" s="105"/>
    </row>
    <row r="446" spans="1:11" x14ac:dyDescent="0.2">
      <c r="A446" s="99">
        <v>46081</v>
      </c>
      <c r="B446" s="100">
        <v>0.91666666666666663</v>
      </c>
      <c r="C446" s="109">
        <f>IF(B445&lt;B446,B445+1-B446,B445-B446)/TIME(7,0,0)</f>
        <v>0.999999999999999</v>
      </c>
      <c r="D446" s="101" t="s">
        <v>323</v>
      </c>
      <c r="E446" s="102" t="s">
        <v>634</v>
      </c>
      <c r="F446" s="103" t="s">
        <v>323</v>
      </c>
      <c r="G446" s="104"/>
      <c r="H446" s="105"/>
    </row>
    <row r="447" spans="1:11" x14ac:dyDescent="0.2">
      <c r="A447" s="99">
        <v>46082</v>
      </c>
      <c r="B447" s="100">
        <v>0.3125</v>
      </c>
      <c r="C447" s="110">
        <f>(B448-B447)/TIME(7,0,0)</f>
        <v>1.0000000000000009</v>
      </c>
      <c r="D447" s="101" t="s">
        <v>163</v>
      </c>
      <c r="E447" s="102" t="s">
        <v>481</v>
      </c>
      <c r="F447" s="103" t="s">
        <v>155</v>
      </c>
      <c r="G447" s="104"/>
      <c r="H447" s="105"/>
    </row>
    <row r="448" spans="1:11" x14ac:dyDescent="0.2">
      <c r="A448" s="99">
        <v>46082</v>
      </c>
      <c r="B448" s="100">
        <v>0.60416666666666696</v>
      </c>
      <c r="C448" s="110"/>
      <c r="D448" s="101" t="s">
        <v>163</v>
      </c>
      <c r="E448" s="102" t="s">
        <v>481</v>
      </c>
      <c r="F448" s="103" t="s">
        <v>155</v>
      </c>
      <c r="G448" s="104"/>
      <c r="H448" s="105"/>
    </row>
    <row r="449" spans="1:8" x14ac:dyDescent="0.2">
      <c r="A449" s="99">
        <v>46082</v>
      </c>
      <c r="B449" s="100">
        <v>0.3125</v>
      </c>
      <c r="C449" s="110">
        <f>(B450-B449)/TIME(7,0,0)</f>
        <v>1.0000000000000009</v>
      </c>
      <c r="D449" s="101" t="s">
        <v>29</v>
      </c>
      <c r="E449" s="102" t="s">
        <v>352</v>
      </c>
      <c r="F449" s="103" t="s">
        <v>671</v>
      </c>
      <c r="G449" s="104"/>
      <c r="H449" s="105"/>
    </row>
    <row r="450" spans="1:8" x14ac:dyDescent="0.2">
      <c r="A450" s="99">
        <v>46082</v>
      </c>
      <c r="B450" s="100">
        <v>0.60416666666666696</v>
      </c>
      <c r="C450" s="110"/>
      <c r="D450" s="101" t="s">
        <v>29</v>
      </c>
      <c r="E450" s="102" t="s">
        <v>352</v>
      </c>
      <c r="F450" s="103" t="s">
        <v>671</v>
      </c>
      <c r="G450" s="104"/>
      <c r="H450" s="105"/>
    </row>
    <row r="451" spans="1:8" x14ac:dyDescent="0.2">
      <c r="A451" s="99">
        <v>46082</v>
      </c>
      <c r="B451" s="100">
        <v>0.3125</v>
      </c>
      <c r="C451" s="110">
        <f>(B452-B451)/TIME(7,0,0)</f>
        <v>1.0000000000000009</v>
      </c>
      <c r="D451" s="101" t="s">
        <v>218</v>
      </c>
      <c r="E451" s="102" t="s">
        <v>533</v>
      </c>
      <c r="F451" s="103" t="s">
        <v>232</v>
      </c>
      <c r="G451" s="100"/>
      <c r="H451" s="105"/>
    </row>
    <row r="452" spans="1:8" x14ac:dyDescent="0.2">
      <c r="A452" s="99">
        <v>46082</v>
      </c>
      <c r="B452" s="100">
        <v>0.60416666666666696</v>
      </c>
      <c r="C452" s="110"/>
      <c r="D452" s="101" t="s">
        <v>218</v>
      </c>
      <c r="E452" s="102" t="s">
        <v>533</v>
      </c>
      <c r="F452" s="103" t="s">
        <v>232</v>
      </c>
      <c r="G452" s="100"/>
      <c r="H452" s="105"/>
    </row>
    <row r="453" spans="1:8" x14ac:dyDescent="0.2">
      <c r="A453" s="99">
        <v>46082</v>
      </c>
      <c r="B453" s="100">
        <v>0.3125</v>
      </c>
      <c r="C453" s="110">
        <f>(B454-B453)/TIME(7,0,0)</f>
        <v>1.0000000000000009</v>
      </c>
      <c r="D453" s="101" t="s">
        <v>30</v>
      </c>
      <c r="E453" s="102" t="s">
        <v>353</v>
      </c>
      <c r="F453" s="103" t="s">
        <v>668</v>
      </c>
      <c r="G453" s="104"/>
      <c r="H453" s="105"/>
    </row>
    <row r="454" spans="1:8" x14ac:dyDescent="0.2">
      <c r="A454" s="99">
        <v>46082</v>
      </c>
      <c r="B454" s="100">
        <v>0.60416666666666696</v>
      </c>
      <c r="C454" s="110"/>
      <c r="D454" s="101" t="s">
        <v>30</v>
      </c>
      <c r="E454" s="102" t="s">
        <v>353</v>
      </c>
      <c r="F454" s="103" t="s">
        <v>668</v>
      </c>
      <c r="G454" s="104"/>
      <c r="H454" s="105"/>
    </row>
    <row r="455" spans="1:8" x14ac:dyDescent="0.2">
      <c r="A455" s="99">
        <v>46082</v>
      </c>
      <c r="B455" s="100">
        <v>0.3125</v>
      </c>
      <c r="C455" s="110">
        <f>(B456-B455)/TIME(7,0,0)</f>
        <v>1.0000000000000009</v>
      </c>
      <c r="D455" s="101" t="s">
        <v>114</v>
      </c>
      <c r="E455" s="102" t="s">
        <v>438</v>
      </c>
      <c r="F455" s="103" t="s">
        <v>232</v>
      </c>
      <c r="G455" s="100"/>
      <c r="H455" s="105"/>
    </row>
    <row r="456" spans="1:8" x14ac:dyDescent="0.2">
      <c r="A456" s="99">
        <v>46082</v>
      </c>
      <c r="B456" s="100">
        <v>0.60416666666666696</v>
      </c>
      <c r="C456" s="110"/>
      <c r="D456" s="101" t="s">
        <v>114</v>
      </c>
      <c r="E456" s="102" t="s">
        <v>438</v>
      </c>
      <c r="F456" s="103" t="s">
        <v>232</v>
      </c>
      <c r="G456" s="100"/>
      <c r="H456" s="105"/>
    </row>
    <row r="457" spans="1:8" x14ac:dyDescent="0.2">
      <c r="A457" s="99">
        <v>46082</v>
      </c>
      <c r="B457" s="100">
        <v>0.3125</v>
      </c>
      <c r="C457" s="110">
        <f>(B458-B457)/TIME(7,0,0)</f>
        <v>1.0000000000000009</v>
      </c>
      <c r="D457" s="101" t="s">
        <v>250</v>
      </c>
      <c r="E457" s="102" t="s">
        <v>563</v>
      </c>
      <c r="F457" s="103"/>
      <c r="G457" s="104"/>
      <c r="H457" s="105"/>
    </row>
    <row r="458" spans="1:8" x14ac:dyDescent="0.2">
      <c r="A458" s="99">
        <v>46082</v>
      </c>
      <c r="B458" s="100">
        <v>0.60416666666666696</v>
      </c>
      <c r="C458" s="110"/>
      <c r="D458" s="101" t="s">
        <v>250</v>
      </c>
      <c r="E458" s="102" t="s">
        <v>563</v>
      </c>
      <c r="F458" s="103"/>
      <c r="G458" s="104"/>
      <c r="H458" s="105"/>
    </row>
    <row r="459" spans="1:8" x14ac:dyDescent="0.2">
      <c r="A459" s="99">
        <v>46082</v>
      </c>
      <c r="B459" s="100">
        <v>0.3125</v>
      </c>
      <c r="C459" s="110">
        <f>(B460-B459)/TIME(7,0,0)</f>
        <v>1.0000000000000009</v>
      </c>
      <c r="D459" s="101" t="s">
        <v>244</v>
      </c>
      <c r="E459" s="102" t="s">
        <v>557</v>
      </c>
      <c r="F459" s="103" t="s">
        <v>155</v>
      </c>
      <c r="G459" s="104"/>
      <c r="H459" s="105"/>
    </row>
    <row r="460" spans="1:8" x14ac:dyDescent="0.2">
      <c r="A460" s="99">
        <v>46082</v>
      </c>
      <c r="B460" s="100">
        <v>0.60416666666666696</v>
      </c>
      <c r="C460" s="110"/>
      <c r="D460" s="101" t="s">
        <v>244</v>
      </c>
      <c r="E460" s="102" t="s">
        <v>557</v>
      </c>
      <c r="F460" s="103" t="s">
        <v>155</v>
      </c>
      <c r="G460" s="104"/>
      <c r="H460" s="105"/>
    </row>
    <row r="461" spans="1:8" x14ac:dyDescent="0.2">
      <c r="A461" s="99">
        <v>46082</v>
      </c>
      <c r="B461" s="100">
        <v>0.3125</v>
      </c>
      <c r="C461" s="110">
        <f>(B462-B461)/TIME(7,0,0)</f>
        <v>1.0000000000000009</v>
      </c>
      <c r="D461" s="101" t="s">
        <v>233</v>
      </c>
      <c r="E461" s="102" t="s">
        <v>546</v>
      </c>
      <c r="F461" s="103" t="s">
        <v>232</v>
      </c>
      <c r="G461" s="104"/>
      <c r="H461" s="105"/>
    </row>
    <row r="462" spans="1:8" x14ac:dyDescent="0.2">
      <c r="A462" s="99">
        <v>46082</v>
      </c>
      <c r="B462" s="100">
        <v>0.60416666666666696</v>
      </c>
      <c r="C462" s="110"/>
      <c r="D462" s="101" t="s">
        <v>233</v>
      </c>
      <c r="E462" s="102" t="s">
        <v>546</v>
      </c>
      <c r="F462" s="103" t="s">
        <v>232</v>
      </c>
      <c r="G462" s="104"/>
      <c r="H462" s="105"/>
    </row>
    <row r="463" spans="1:8" x14ac:dyDescent="0.2">
      <c r="A463" s="99">
        <v>46082</v>
      </c>
      <c r="B463" s="100">
        <v>0.3125</v>
      </c>
      <c r="C463" s="110">
        <f>(B464-B463)/TIME(7,0,0)</f>
        <v>1.0000000000000009</v>
      </c>
      <c r="D463" s="101" t="s">
        <v>34</v>
      </c>
      <c r="E463" s="102" t="s">
        <v>357</v>
      </c>
      <c r="F463" s="103" t="s">
        <v>771</v>
      </c>
      <c r="G463" s="100"/>
      <c r="H463" s="105"/>
    </row>
    <row r="464" spans="1:8" x14ac:dyDescent="0.2">
      <c r="A464" s="99">
        <v>46082</v>
      </c>
      <c r="B464" s="100">
        <v>0.60416666666666696</v>
      </c>
      <c r="C464" s="110"/>
      <c r="D464" s="101" t="s">
        <v>34</v>
      </c>
      <c r="E464" s="102" t="s">
        <v>357</v>
      </c>
      <c r="F464" s="103" t="s">
        <v>771</v>
      </c>
      <c r="G464" s="100"/>
      <c r="H464" s="105"/>
    </row>
    <row r="465" spans="1:8" x14ac:dyDescent="0.2">
      <c r="A465" s="99">
        <v>46082</v>
      </c>
      <c r="B465" s="100">
        <v>0.20833333333333301</v>
      </c>
      <c r="C465" s="109"/>
      <c r="D465" s="101" t="s">
        <v>320</v>
      </c>
      <c r="E465" s="102" t="s">
        <v>631</v>
      </c>
      <c r="F465" s="103" t="s">
        <v>320</v>
      </c>
      <c r="G465" s="104"/>
      <c r="H465" s="105"/>
    </row>
    <row r="466" spans="1:8" x14ac:dyDescent="0.2">
      <c r="A466" s="99">
        <v>46081</v>
      </c>
      <c r="B466" s="100">
        <v>0.91666666666666663</v>
      </c>
      <c r="C466" s="109">
        <f>IF(B465&lt;B466,B465+1-B466,B465-B466)/TIME(7,0,0)</f>
        <v>0.999999999999999</v>
      </c>
      <c r="D466" s="101" t="s">
        <v>320</v>
      </c>
      <c r="E466" s="102" t="s">
        <v>631</v>
      </c>
      <c r="F466" s="103" t="s">
        <v>320</v>
      </c>
      <c r="G466" s="104"/>
      <c r="H466" s="105"/>
    </row>
    <row r="467" spans="1:8" x14ac:dyDescent="0.2">
      <c r="A467" s="99">
        <v>46082</v>
      </c>
      <c r="B467" s="100">
        <v>0.36527777777777776</v>
      </c>
      <c r="C467" s="110">
        <v>0.81</v>
      </c>
      <c r="D467" s="101" t="s">
        <v>239</v>
      </c>
      <c r="E467" s="102" t="s">
        <v>552</v>
      </c>
      <c r="F467" s="103" t="s">
        <v>232</v>
      </c>
      <c r="G467" s="104"/>
      <c r="H467" s="105"/>
    </row>
    <row r="468" spans="1:8" x14ac:dyDescent="0.2">
      <c r="A468" s="99">
        <v>46082</v>
      </c>
      <c r="B468" s="100">
        <v>0.60416666666666696</v>
      </c>
      <c r="C468" s="110"/>
      <c r="D468" s="101" t="s">
        <v>239</v>
      </c>
      <c r="E468" s="102" t="s">
        <v>552</v>
      </c>
      <c r="F468" s="103" t="s">
        <v>232</v>
      </c>
      <c r="G468" s="104"/>
      <c r="H468" s="105"/>
    </row>
    <row r="469" spans="1:8" x14ac:dyDescent="0.2">
      <c r="A469" s="99">
        <v>46082</v>
      </c>
      <c r="B469" s="100">
        <v>0.3125</v>
      </c>
      <c r="C469" s="110">
        <f>(B470-B469)/TIME(7,0,0)</f>
        <v>1.0000000000000009</v>
      </c>
      <c r="D469" s="101" t="s">
        <v>681</v>
      </c>
      <c r="E469" s="102" t="s">
        <v>570</v>
      </c>
      <c r="F469" s="103" t="s">
        <v>275</v>
      </c>
      <c r="G469" s="104"/>
      <c r="H469" s="105"/>
    </row>
    <row r="470" spans="1:8" x14ac:dyDescent="0.2">
      <c r="A470" s="99">
        <v>46082</v>
      </c>
      <c r="B470" s="100">
        <v>0.60416666666666696</v>
      </c>
      <c r="C470" s="110"/>
      <c r="D470" s="101" t="s">
        <v>681</v>
      </c>
      <c r="E470" s="102" t="s">
        <v>570</v>
      </c>
      <c r="F470" s="103" t="s">
        <v>275</v>
      </c>
      <c r="G470" s="104"/>
      <c r="H470" s="105"/>
    </row>
    <row r="471" spans="1:8" x14ac:dyDescent="0.2">
      <c r="A471" s="99">
        <v>46082</v>
      </c>
      <c r="B471" s="100">
        <v>0.3125</v>
      </c>
      <c r="C471" s="110">
        <f>(B472-B471)/TIME(7,0,0)</f>
        <v>1.0000000000000009</v>
      </c>
      <c r="D471" s="101" t="s">
        <v>249</v>
      </c>
      <c r="E471" s="102" t="s">
        <v>562</v>
      </c>
      <c r="F471" s="103" t="s">
        <v>232</v>
      </c>
      <c r="G471" s="104"/>
      <c r="H471" s="105"/>
    </row>
    <row r="472" spans="1:8" x14ac:dyDescent="0.2">
      <c r="A472" s="99">
        <v>46082</v>
      </c>
      <c r="B472" s="100">
        <v>0.60416666666666696</v>
      </c>
      <c r="C472" s="110"/>
      <c r="D472" s="101" t="s">
        <v>249</v>
      </c>
      <c r="E472" s="102" t="s">
        <v>562</v>
      </c>
      <c r="F472" s="103" t="s">
        <v>232</v>
      </c>
      <c r="G472" s="104"/>
      <c r="H472" s="105"/>
    </row>
    <row r="473" spans="1:8" x14ac:dyDescent="0.2">
      <c r="A473" s="99">
        <v>46082</v>
      </c>
      <c r="B473" s="100">
        <v>0.3125</v>
      </c>
      <c r="C473" s="110">
        <f>(B474-B473)/TIME(7,0,0)</f>
        <v>1.0000000000000009</v>
      </c>
      <c r="D473" s="101" t="s">
        <v>19</v>
      </c>
      <c r="E473" s="102" t="s">
        <v>342</v>
      </c>
      <c r="F473" s="103" t="s">
        <v>674</v>
      </c>
      <c r="G473" s="104"/>
      <c r="H473" s="105"/>
    </row>
    <row r="474" spans="1:8" x14ac:dyDescent="0.2">
      <c r="A474" s="99">
        <v>46082</v>
      </c>
      <c r="B474" s="100">
        <v>0.60416666666666696</v>
      </c>
      <c r="C474" s="110"/>
      <c r="D474" s="101" t="s">
        <v>19</v>
      </c>
      <c r="E474" s="102" t="s">
        <v>342</v>
      </c>
      <c r="F474" s="103" t="s">
        <v>674</v>
      </c>
      <c r="G474" s="104"/>
      <c r="H474" s="105"/>
    </row>
    <row r="475" spans="1:8" x14ac:dyDescent="0.2">
      <c r="A475" s="99">
        <v>46082</v>
      </c>
      <c r="B475" s="100">
        <v>0.3125</v>
      </c>
      <c r="C475" s="110">
        <f>(B476-B475)/TIME(7,0,0)</f>
        <v>1.0000000000000009</v>
      </c>
      <c r="D475" s="101" t="s">
        <v>74</v>
      </c>
      <c r="E475" s="102" t="s">
        <v>396</v>
      </c>
      <c r="F475" s="103" t="s">
        <v>674</v>
      </c>
      <c r="G475" s="104"/>
      <c r="H475" s="105"/>
    </row>
    <row r="476" spans="1:8" x14ac:dyDescent="0.2">
      <c r="A476" s="99">
        <v>46082</v>
      </c>
      <c r="B476" s="100">
        <v>0.60416666666666696</v>
      </c>
      <c r="C476" s="110"/>
      <c r="D476" s="101" t="s">
        <v>74</v>
      </c>
      <c r="E476" s="102" t="s">
        <v>396</v>
      </c>
      <c r="F476" s="103" t="s">
        <v>674</v>
      </c>
      <c r="G476" s="104"/>
      <c r="H476" s="105"/>
    </row>
    <row r="477" spans="1:8" x14ac:dyDescent="0.2">
      <c r="A477" s="99">
        <v>46082</v>
      </c>
      <c r="B477" s="100">
        <v>0.3125</v>
      </c>
      <c r="C477" s="110">
        <f>(B478-B477)/TIME(7,0,0)</f>
        <v>1.0000000000000009</v>
      </c>
      <c r="D477" s="101" t="s">
        <v>73</v>
      </c>
      <c r="E477" s="102" t="s">
        <v>395</v>
      </c>
      <c r="F477" s="103" t="s">
        <v>668</v>
      </c>
      <c r="G477" s="104"/>
      <c r="H477" s="105"/>
    </row>
    <row r="478" spans="1:8" x14ac:dyDescent="0.2">
      <c r="A478" s="99">
        <v>46082</v>
      </c>
      <c r="B478" s="100">
        <v>0.60416666666666696</v>
      </c>
      <c r="C478" s="110"/>
      <c r="D478" s="101" t="s">
        <v>73</v>
      </c>
      <c r="E478" s="102" t="s">
        <v>395</v>
      </c>
      <c r="F478" s="103" t="s">
        <v>668</v>
      </c>
      <c r="G478" s="104"/>
      <c r="H478" s="105"/>
    </row>
    <row r="479" spans="1:8" x14ac:dyDescent="0.2">
      <c r="A479" s="99">
        <v>46082</v>
      </c>
      <c r="B479" s="100">
        <v>0.3125</v>
      </c>
      <c r="C479" s="110">
        <f>(B480-B479)/TIME(7,0,0)</f>
        <v>1.0000000000000009</v>
      </c>
      <c r="D479" s="101" t="s">
        <v>158</v>
      </c>
      <c r="E479" s="102" t="s">
        <v>476</v>
      </c>
      <c r="F479" s="103" t="s">
        <v>216</v>
      </c>
      <c r="G479" s="104"/>
      <c r="H479" s="105"/>
    </row>
    <row r="480" spans="1:8" x14ac:dyDescent="0.2">
      <c r="A480" s="99">
        <v>46082</v>
      </c>
      <c r="B480" s="100">
        <v>0.60416666666666696</v>
      </c>
      <c r="C480" s="110"/>
      <c r="D480" s="101" t="s">
        <v>158</v>
      </c>
      <c r="E480" s="102" t="s">
        <v>476</v>
      </c>
      <c r="F480" s="103" t="s">
        <v>216</v>
      </c>
      <c r="G480" s="104"/>
      <c r="H480" s="105"/>
    </row>
    <row r="481" spans="1:8" x14ac:dyDescent="0.2">
      <c r="A481" s="99">
        <v>46082</v>
      </c>
      <c r="B481" s="100">
        <v>0.3125</v>
      </c>
      <c r="C481" s="110">
        <f>(B482-B481)/TIME(7,0,0)</f>
        <v>1.0000000000000009</v>
      </c>
      <c r="D481" s="101" t="s">
        <v>759</v>
      </c>
      <c r="E481" s="102" t="s">
        <v>398</v>
      </c>
      <c r="F481" s="103" t="s">
        <v>674</v>
      </c>
      <c r="G481" s="104"/>
      <c r="H481" s="105"/>
    </row>
    <row r="482" spans="1:8" x14ac:dyDescent="0.2">
      <c r="A482" s="99">
        <v>46082</v>
      </c>
      <c r="B482" s="100">
        <v>0.60416666666666696</v>
      </c>
      <c r="C482" s="110"/>
      <c r="D482" s="101" t="s">
        <v>759</v>
      </c>
      <c r="E482" s="102" t="s">
        <v>398</v>
      </c>
      <c r="F482" s="103" t="s">
        <v>674</v>
      </c>
      <c r="G482" s="104"/>
      <c r="H482" s="105"/>
    </row>
    <row r="483" spans="1:8" x14ac:dyDescent="0.2">
      <c r="A483" s="99">
        <v>46082</v>
      </c>
      <c r="B483" s="100">
        <v>0.3125</v>
      </c>
      <c r="C483" s="110">
        <f>(B484-B483)/TIME(7,0,0)</f>
        <v>1.0000000000000009</v>
      </c>
      <c r="D483" s="101" t="s">
        <v>130</v>
      </c>
      <c r="E483" s="102" t="s">
        <v>452</v>
      </c>
      <c r="F483" s="103" t="s">
        <v>772</v>
      </c>
      <c r="G483" s="104"/>
      <c r="H483" s="105"/>
    </row>
    <row r="484" spans="1:8" x14ac:dyDescent="0.2">
      <c r="A484" s="99">
        <v>46082</v>
      </c>
      <c r="B484" s="100">
        <v>0.60416666666666696</v>
      </c>
      <c r="C484" s="110"/>
      <c r="D484" s="101" t="s">
        <v>130</v>
      </c>
      <c r="E484" s="102" t="s">
        <v>452</v>
      </c>
      <c r="F484" s="103" t="s">
        <v>772</v>
      </c>
      <c r="G484" s="104"/>
      <c r="H484" s="105"/>
    </row>
    <row r="485" spans="1:8" x14ac:dyDescent="0.2">
      <c r="A485" s="99">
        <v>46082</v>
      </c>
      <c r="B485" s="100">
        <v>0.3125</v>
      </c>
      <c r="C485" s="110">
        <f>(B486-B485)/TIME(7,0,0)</f>
        <v>1.0000000000000009</v>
      </c>
      <c r="D485" s="101" t="s">
        <v>280</v>
      </c>
      <c r="E485" s="102" t="s">
        <v>588</v>
      </c>
      <c r="F485" s="103" t="s">
        <v>275</v>
      </c>
      <c r="G485" s="104"/>
      <c r="H485" s="105"/>
    </row>
    <row r="486" spans="1:8" x14ac:dyDescent="0.2">
      <c r="A486" s="99">
        <v>46082</v>
      </c>
      <c r="B486" s="100">
        <v>0.60416666666666696</v>
      </c>
      <c r="C486" s="110"/>
      <c r="D486" s="101" t="s">
        <v>280</v>
      </c>
      <c r="E486" s="102" t="s">
        <v>588</v>
      </c>
      <c r="F486" s="103" t="s">
        <v>275</v>
      </c>
      <c r="G486" s="104"/>
      <c r="H486" s="105"/>
    </row>
    <row r="487" spans="1:8" x14ac:dyDescent="0.2">
      <c r="A487" s="99">
        <v>46082</v>
      </c>
      <c r="B487" s="100">
        <v>0.3125</v>
      </c>
      <c r="C487" s="110">
        <f>(B488-B487)/TIME(7,0,0)</f>
        <v>1.0000000000000009</v>
      </c>
      <c r="D487" s="101" t="s">
        <v>269</v>
      </c>
      <c r="E487" s="102" t="s">
        <v>579</v>
      </c>
      <c r="F487" s="103" t="s">
        <v>668</v>
      </c>
      <c r="G487" s="104"/>
      <c r="H487" s="105"/>
    </row>
    <row r="488" spans="1:8" x14ac:dyDescent="0.2">
      <c r="A488" s="99">
        <v>46082</v>
      </c>
      <c r="B488" s="100">
        <v>0.60416666666666696</v>
      </c>
      <c r="C488" s="110"/>
      <c r="D488" s="101" t="s">
        <v>269</v>
      </c>
      <c r="E488" s="102" t="s">
        <v>579</v>
      </c>
      <c r="F488" s="103" t="s">
        <v>668</v>
      </c>
      <c r="G488" s="104"/>
      <c r="H488" s="105"/>
    </row>
    <row r="489" spans="1:8" x14ac:dyDescent="0.2">
      <c r="A489" s="99">
        <v>46082</v>
      </c>
      <c r="B489" s="100">
        <v>0.20833333333333301</v>
      </c>
      <c r="C489" s="109"/>
      <c r="D489" s="101" t="s">
        <v>299</v>
      </c>
      <c r="E489" s="102" t="s">
        <v>609</v>
      </c>
      <c r="F489" s="103" t="s">
        <v>299</v>
      </c>
      <c r="G489" s="104"/>
      <c r="H489" s="105"/>
    </row>
    <row r="490" spans="1:8" x14ac:dyDescent="0.2">
      <c r="A490" s="99">
        <v>46081</v>
      </c>
      <c r="B490" s="100">
        <v>0.91666666666666663</v>
      </c>
      <c r="C490" s="109">
        <f>IF(B489&lt;B490,B489+1-B490,B489-B490)/TIME(7,0,0)</f>
        <v>0.999999999999999</v>
      </c>
      <c r="D490" s="101" t="s">
        <v>299</v>
      </c>
      <c r="E490" s="102" t="s">
        <v>609</v>
      </c>
      <c r="F490" s="103" t="s">
        <v>299</v>
      </c>
      <c r="G490" s="104"/>
      <c r="H490" s="105"/>
    </row>
    <row r="491" spans="1:8" x14ac:dyDescent="0.2">
      <c r="A491" s="99">
        <v>46082</v>
      </c>
      <c r="B491" s="100">
        <v>0.3125</v>
      </c>
      <c r="C491" s="110">
        <f>(B492-B491)/TIME(7,0,0)</f>
        <v>1.0000000000000009</v>
      </c>
      <c r="D491" s="101" t="s">
        <v>251</v>
      </c>
      <c r="E491" s="102" t="s">
        <v>564</v>
      </c>
      <c r="F491" s="103" t="s">
        <v>668</v>
      </c>
      <c r="G491" s="104"/>
      <c r="H491" s="105"/>
    </row>
    <row r="492" spans="1:8" x14ac:dyDescent="0.2">
      <c r="A492" s="99">
        <v>46082</v>
      </c>
      <c r="B492" s="100">
        <v>0.60416666666666696</v>
      </c>
      <c r="C492" s="110"/>
      <c r="D492" s="101" t="s">
        <v>251</v>
      </c>
      <c r="E492" s="102" t="s">
        <v>564</v>
      </c>
      <c r="F492" s="103" t="s">
        <v>668</v>
      </c>
      <c r="G492" s="104"/>
      <c r="H492" s="105"/>
    </row>
    <row r="493" spans="1:8" x14ac:dyDescent="0.2">
      <c r="A493" s="99">
        <v>46082</v>
      </c>
      <c r="B493" s="100">
        <v>0.3125</v>
      </c>
      <c r="C493" s="110">
        <f>(B494-B493)/TIME(7,0,0)</f>
        <v>1.0000000000000009</v>
      </c>
      <c r="D493" s="101" t="s">
        <v>256</v>
      </c>
      <c r="E493" s="102" t="s">
        <v>568</v>
      </c>
      <c r="F493" s="103" t="s">
        <v>766</v>
      </c>
      <c r="G493" s="104"/>
      <c r="H493" s="105"/>
    </row>
    <row r="494" spans="1:8" x14ac:dyDescent="0.2">
      <c r="A494" s="99">
        <v>46082</v>
      </c>
      <c r="B494" s="100">
        <v>0.60416666666666696</v>
      </c>
      <c r="C494" s="110"/>
      <c r="D494" s="101" t="s">
        <v>256</v>
      </c>
      <c r="E494" s="102" t="s">
        <v>568</v>
      </c>
      <c r="F494" s="103" t="s">
        <v>766</v>
      </c>
      <c r="G494" s="104"/>
      <c r="H494" s="105"/>
    </row>
    <row r="495" spans="1:8" x14ac:dyDescent="0.2">
      <c r="A495" s="99">
        <v>46082</v>
      </c>
      <c r="B495" s="100">
        <v>0.3125</v>
      </c>
      <c r="C495" s="110">
        <f>(B496-B495)/TIME(7,0,0)</f>
        <v>1.0000000000000009</v>
      </c>
      <c r="D495" s="101" t="s">
        <v>680</v>
      </c>
      <c r="E495" s="102" t="s">
        <v>478</v>
      </c>
      <c r="F495" s="103" t="s">
        <v>155</v>
      </c>
      <c r="G495" s="104"/>
      <c r="H495" s="105"/>
    </row>
    <row r="496" spans="1:8" x14ac:dyDescent="0.2">
      <c r="A496" s="99">
        <v>46082</v>
      </c>
      <c r="B496" s="100">
        <v>0.60416666666666696</v>
      </c>
      <c r="C496" s="110"/>
      <c r="D496" s="101" t="s">
        <v>680</v>
      </c>
      <c r="E496" s="102" t="s">
        <v>478</v>
      </c>
      <c r="F496" s="103" t="s">
        <v>155</v>
      </c>
      <c r="G496" s="104"/>
      <c r="H496" s="105"/>
    </row>
    <row r="497" spans="1:8" x14ac:dyDescent="0.2">
      <c r="A497" s="99">
        <v>46082</v>
      </c>
      <c r="B497" s="100">
        <v>0.3125</v>
      </c>
      <c r="C497" s="110">
        <f>(B498-B497)/TIME(7,0,0)</f>
        <v>1.0000000000000009</v>
      </c>
      <c r="D497" s="101" t="s">
        <v>188</v>
      </c>
      <c r="E497" s="102" t="s">
        <v>506</v>
      </c>
      <c r="F497" s="103" t="s">
        <v>180</v>
      </c>
      <c r="G497" s="104"/>
      <c r="H497" s="105"/>
    </row>
    <row r="498" spans="1:8" x14ac:dyDescent="0.2">
      <c r="A498" s="99">
        <v>46082</v>
      </c>
      <c r="B498" s="100">
        <v>0.60416666666666696</v>
      </c>
      <c r="C498" s="110"/>
      <c r="D498" s="101" t="s">
        <v>188</v>
      </c>
      <c r="E498" s="102" t="s">
        <v>506</v>
      </c>
      <c r="F498" s="103" t="s">
        <v>180</v>
      </c>
      <c r="G498" s="104"/>
      <c r="H498" s="105"/>
    </row>
    <row r="499" spans="1:8" x14ac:dyDescent="0.2">
      <c r="A499" s="99">
        <v>46082</v>
      </c>
      <c r="B499" s="100">
        <v>0.3125</v>
      </c>
      <c r="C499" s="110">
        <f>(B500-B499)/TIME(7,0,0)</f>
        <v>1.0000000000000009</v>
      </c>
      <c r="D499" s="101" t="s">
        <v>738</v>
      </c>
      <c r="E499" s="102" t="s">
        <v>412</v>
      </c>
      <c r="F499" s="103" t="s">
        <v>668</v>
      </c>
      <c r="G499" s="104"/>
      <c r="H499" s="105"/>
    </row>
    <row r="500" spans="1:8" x14ac:dyDescent="0.2">
      <c r="A500" s="99">
        <v>46082</v>
      </c>
      <c r="B500" s="100">
        <v>0.60416666666666696</v>
      </c>
      <c r="C500" s="110"/>
      <c r="D500" s="101" t="s">
        <v>738</v>
      </c>
      <c r="E500" s="102" t="s">
        <v>412</v>
      </c>
      <c r="F500" s="103" t="s">
        <v>668</v>
      </c>
      <c r="G500" s="104"/>
      <c r="H500" s="105"/>
    </row>
    <row r="501" spans="1:8" x14ac:dyDescent="0.2">
      <c r="A501" s="99">
        <v>46082</v>
      </c>
      <c r="B501" s="100">
        <v>0.3125</v>
      </c>
      <c r="C501" s="110">
        <f>(B502-B501)/TIME(7,0,0)</f>
        <v>1.0000000000000009</v>
      </c>
      <c r="D501" s="101" t="s">
        <v>87</v>
      </c>
      <c r="E501" s="102" t="s">
        <v>409</v>
      </c>
      <c r="F501" s="103" t="s">
        <v>674</v>
      </c>
      <c r="G501" s="104"/>
      <c r="H501" s="105"/>
    </row>
    <row r="502" spans="1:8" x14ac:dyDescent="0.2">
      <c r="A502" s="99">
        <v>46082</v>
      </c>
      <c r="B502" s="100">
        <v>0.60416666666666696</v>
      </c>
      <c r="C502" s="110"/>
      <c r="D502" s="101" t="s">
        <v>87</v>
      </c>
      <c r="E502" s="102" t="s">
        <v>409</v>
      </c>
      <c r="F502" s="103" t="s">
        <v>674</v>
      </c>
      <c r="G502" s="104"/>
      <c r="H502" s="105"/>
    </row>
    <row r="503" spans="1:8" x14ac:dyDescent="0.2">
      <c r="A503" s="99">
        <v>46082</v>
      </c>
      <c r="B503" s="100">
        <v>0.3125</v>
      </c>
      <c r="C503" s="110">
        <f>(B504-B503)/TIME(7,0,0)</f>
        <v>1.0000000000000009</v>
      </c>
      <c r="D503" s="101" t="s">
        <v>75</v>
      </c>
      <c r="E503" s="102" t="s">
        <v>397</v>
      </c>
      <c r="F503" s="103" t="s">
        <v>674</v>
      </c>
      <c r="G503" s="104"/>
      <c r="H503" s="105"/>
    </row>
    <row r="504" spans="1:8" x14ac:dyDescent="0.2">
      <c r="A504" s="99">
        <v>46082</v>
      </c>
      <c r="B504" s="100">
        <v>0.60416666666666696</v>
      </c>
      <c r="C504" s="110"/>
      <c r="D504" s="101" t="s">
        <v>75</v>
      </c>
      <c r="E504" s="102" t="s">
        <v>397</v>
      </c>
      <c r="F504" s="103" t="s">
        <v>674</v>
      </c>
      <c r="G504" s="104"/>
      <c r="H504" s="105"/>
    </row>
    <row r="505" spans="1:8" x14ac:dyDescent="0.2">
      <c r="A505" s="99">
        <v>46082</v>
      </c>
      <c r="B505" s="100">
        <v>0.3125</v>
      </c>
      <c r="C505" s="110">
        <v>1</v>
      </c>
      <c r="D505" s="101" t="s">
        <v>273</v>
      </c>
      <c r="E505" s="102" t="s">
        <v>582</v>
      </c>
      <c r="F505" s="103" t="s">
        <v>272</v>
      </c>
      <c r="G505" s="104"/>
      <c r="H505" s="105"/>
    </row>
    <row r="506" spans="1:8" x14ac:dyDescent="0.2">
      <c r="A506" s="99">
        <v>46082</v>
      </c>
      <c r="B506" s="100">
        <v>0.3125</v>
      </c>
      <c r="C506" s="110">
        <f>(B507-B506)/TIME(7,0,0)</f>
        <v>1.0000000000000009</v>
      </c>
      <c r="D506" s="101" t="s">
        <v>52</v>
      </c>
      <c r="E506" s="102" t="s">
        <v>375</v>
      </c>
      <c r="F506" s="103" t="s">
        <v>275</v>
      </c>
      <c r="G506" s="104"/>
      <c r="H506" s="105"/>
    </row>
    <row r="507" spans="1:8" x14ac:dyDescent="0.2">
      <c r="A507" s="99">
        <v>46082</v>
      </c>
      <c r="B507" s="100">
        <v>0.60416666666666696</v>
      </c>
      <c r="C507" s="110"/>
      <c r="D507" s="101" t="s">
        <v>52</v>
      </c>
      <c r="E507" s="102" t="s">
        <v>375</v>
      </c>
      <c r="F507" s="103" t="s">
        <v>275</v>
      </c>
      <c r="G507" s="104"/>
      <c r="H507" s="105"/>
    </row>
    <row r="508" spans="1:8" x14ac:dyDescent="0.2">
      <c r="A508" s="99">
        <v>46082</v>
      </c>
      <c r="B508" s="100">
        <v>0.3125</v>
      </c>
      <c r="C508" s="110">
        <f>(B509-B508)/TIME(7,0,0)</f>
        <v>1.0000000000000009</v>
      </c>
      <c r="D508" s="101" t="s">
        <v>203</v>
      </c>
      <c r="E508" s="102" t="s">
        <v>519</v>
      </c>
      <c r="F508" s="103" t="s">
        <v>199</v>
      </c>
      <c r="G508" s="104"/>
      <c r="H508" s="105"/>
    </row>
    <row r="509" spans="1:8" x14ac:dyDescent="0.2">
      <c r="A509" s="99">
        <v>46082</v>
      </c>
      <c r="B509" s="100">
        <v>0.60416666666666696</v>
      </c>
      <c r="C509" s="110"/>
      <c r="D509" s="101" t="s">
        <v>203</v>
      </c>
      <c r="E509" s="102" t="s">
        <v>519</v>
      </c>
      <c r="F509" s="103" t="s">
        <v>199</v>
      </c>
      <c r="G509" s="104"/>
      <c r="H509" s="105"/>
    </row>
    <row r="510" spans="1:8" x14ac:dyDescent="0.2">
      <c r="A510" s="99">
        <v>46082</v>
      </c>
      <c r="B510" s="100">
        <v>0.3125</v>
      </c>
      <c r="C510" s="110">
        <f>(B511-B510)/TIME(7,0,0)</f>
        <v>1.0000000000000009</v>
      </c>
      <c r="D510" s="101" t="s">
        <v>65</v>
      </c>
      <c r="E510" s="102" t="s">
        <v>388</v>
      </c>
      <c r="F510" s="103" t="s">
        <v>42</v>
      </c>
      <c r="G510" s="104"/>
      <c r="H510" s="105"/>
    </row>
    <row r="511" spans="1:8" x14ac:dyDescent="0.2">
      <c r="A511" s="99">
        <v>46082</v>
      </c>
      <c r="B511" s="100">
        <v>0.60416666666666696</v>
      </c>
      <c r="C511" s="110"/>
      <c r="D511" s="101" t="s">
        <v>65</v>
      </c>
      <c r="E511" s="102" t="s">
        <v>388</v>
      </c>
      <c r="F511" s="103" t="s">
        <v>42</v>
      </c>
      <c r="G511" s="100"/>
      <c r="H511" s="105"/>
    </row>
    <row r="512" spans="1:8" x14ac:dyDescent="0.2">
      <c r="A512" s="99">
        <v>46082</v>
      </c>
      <c r="B512" s="100">
        <v>0.3125</v>
      </c>
      <c r="C512" s="110">
        <f>(B513-B512)/TIME(7,0,0)</f>
        <v>1.0000000000000009</v>
      </c>
      <c r="D512" s="101" t="s">
        <v>63</v>
      </c>
      <c r="E512" s="102" t="s">
        <v>386</v>
      </c>
      <c r="F512" s="103" t="s">
        <v>42</v>
      </c>
      <c r="G512" s="100"/>
      <c r="H512" s="105"/>
    </row>
    <row r="513" spans="1:8" x14ac:dyDescent="0.2">
      <c r="A513" s="99">
        <v>46082</v>
      </c>
      <c r="B513" s="100">
        <v>0.60416666666666696</v>
      </c>
      <c r="D513" s="101" t="s">
        <v>63</v>
      </c>
      <c r="E513" s="102" t="s">
        <v>386</v>
      </c>
      <c r="F513" s="103" t="s">
        <v>42</v>
      </c>
      <c r="G513" s="104"/>
      <c r="H513" s="104"/>
    </row>
  </sheetData>
  <autoFilter ref="A1:F1">
    <sortState ref="A2:F513">
      <sortCondition ref="D1"/>
    </sortState>
  </autoFilter>
  <conditionalFormatting sqref="D1:D444 D514:D65536">
    <cfRule type="uniqueValues" dxfId="5" priority="3" stopIfTrue="1"/>
  </conditionalFormatting>
  <conditionalFormatting sqref="D445:D513">
    <cfRule type="uniqueValues" dxfId="4" priority="1" stopIfTrue="1"/>
  </conditionalFormatting>
  <conditionalFormatting sqref="D65537">
    <cfRule type="uniqueValues" dxfId="3" priority="4" stopIfTrue="1"/>
  </conditionalFormatting>
  <conditionalFormatting sqref="D65538">
    <cfRule type="uniqueValues" dxfId="2" priority="5" stopIfTrue="1"/>
  </conditionalFormatting>
  <conditionalFormatting sqref="D65539:D1048576">
    <cfRule type="uniqueValues" dxfId="1" priority="6"/>
  </conditionalFormatting>
  <conditionalFormatting sqref="F445:F513">
    <cfRule type="uniqueValues" dxfId="0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7</vt:i4>
      </vt:variant>
      <vt:variant>
        <vt:lpstr>نطاقات تمت تسميتها</vt:lpstr>
      </vt:variant>
      <vt:variant>
        <vt:i4>2</vt:i4>
      </vt:variant>
    </vt:vector>
  </HeadingPairs>
  <TitlesOfParts>
    <vt:vector size="9" baseType="lpstr">
      <vt:lpstr>Attendance</vt:lpstr>
      <vt:lpstr>Employees</vt:lpstr>
      <vt:lpstr>التسبيقات</vt:lpstr>
      <vt:lpstr>ALLAL</vt:lpstr>
      <vt:lpstr>TPL</vt:lpstr>
      <vt:lpstr>ورقة3</vt:lpstr>
      <vt:lpstr>ورقة1</vt:lpstr>
      <vt:lpstr>TPL!Print_Area</vt:lpstr>
      <vt:lpstr>التسبيقات!Print_Area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2026-04-14T13:25:16Z</dcterms:modified>
</cp:coreProperties>
</file>